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D:\refrigerator-volume-calculator\"/>
    </mc:Choice>
  </mc:AlternateContent>
  <xr:revisionPtr revIDLastSave="0" documentId="13_ncr:1_{10B352D2-9D74-4FB0-AF84-43B1C06AEEF9}" xr6:coauthVersionLast="47" xr6:coauthVersionMax="47" xr10:uidLastSave="{00000000-0000-0000-0000-000000000000}"/>
  <bookViews>
    <workbookView xWindow="-108" yWindow="-108" windowWidth="23256" windowHeight="12456" xr2:uid="{00000000-000D-0000-FFFF-FFFF00000000}"/>
    <workbookView xWindow="-108" yWindow="-108" windowWidth="23256" windowHeight="12456" xr2:uid="{438D3FEB-D10C-45BA-A9A6-BE52044EF649}"/>
  </bookViews>
  <sheets>
    <sheet name="Sheet6" sheetId="26" r:id="rId1"/>
    <sheet name="Volumetric efficiency" sheetId="14" state="hidden" r:id="rId2"/>
    <sheet name="Chart2" sheetId="20" state="hidden" r:id="rId3"/>
    <sheet name="Chart1" sheetId="19" state="hidden" r:id="rId4"/>
    <sheet name="Cooling capacity" sheetId="15" state="hidden" r:id="rId5"/>
    <sheet name="Input" sheetId="16" state="hidden" r:id="rId6"/>
    <sheet name="入力Ｗ" sheetId="4" state="hidden" r:id="rId7"/>
    <sheet name="冷凍能力" sheetId="5" state="hidden" r:id="rId8"/>
    <sheet name="COP" sheetId="12" state="hidden" r:id="rId9"/>
    <sheet name="冷蔵庫条件冷凍能力" sheetId="6" state="hidden" r:id="rId10"/>
    <sheet name="冷蔵庫条件COP" sheetId="10" state="hidden" r:id="rId11"/>
    <sheet name="冷蔵庫条件ＣＯＰ　比較" sheetId="17" state="hidden" r:id="rId12"/>
    <sheet name="Sheet1" sheetId="18" state="hidden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6" l="1"/>
  <c r="H3" i="26"/>
  <c r="G4" i="26"/>
  <c r="H4" i="26"/>
  <c r="G5" i="26"/>
  <c r="H5" i="26"/>
  <c r="G6" i="26"/>
  <c r="H6" i="26"/>
  <c r="G7" i="26"/>
  <c r="H7" i="26"/>
  <c r="G8" i="26"/>
  <c r="H8" i="26"/>
  <c r="G9" i="26"/>
  <c r="H9" i="26"/>
  <c r="G10" i="26"/>
  <c r="H10" i="26"/>
  <c r="G11" i="26"/>
  <c r="H11" i="26"/>
  <c r="G12" i="26"/>
  <c r="H12" i="26"/>
  <c r="G13" i="26"/>
  <c r="H13" i="26"/>
  <c r="G14" i="26"/>
  <c r="H14" i="26"/>
  <c r="G15" i="26"/>
  <c r="H15" i="26"/>
  <c r="G16" i="26"/>
  <c r="H16" i="26"/>
  <c r="G17" i="26"/>
  <c r="H17" i="26"/>
  <c r="G18" i="26"/>
  <c r="H18" i="26"/>
  <c r="G19" i="26"/>
  <c r="H19" i="26"/>
  <c r="G20" i="26"/>
  <c r="H20" i="26"/>
  <c r="G21" i="26"/>
  <c r="H21" i="26"/>
  <c r="G22" i="26"/>
  <c r="H22" i="26"/>
  <c r="G23" i="26"/>
  <c r="H23" i="26"/>
  <c r="G24" i="26"/>
  <c r="H24" i="26"/>
  <c r="G25" i="26"/>
  <c r="H25" i="26"/>
  <c r="G26" i="26"/>
  <c r="H26" i="26"/>
  <c r="G27" i="26"/>
  <c r="H27" i="26"/>
  <c r="G28" i="26"/>
  <c r="H28" i="26"/>
  <c r="G29" i="26"/>
  <c r="H29" i="26"/>
  <c r="G30" i="26"/>
  <c r="H30" i="26"/>
  <c r="G31" i="26"/>
  <c r="H31" i="26"/>
  <c r="G32" i="26"/>
  <c r="H32" i="26"/>
  <c r="G33" i="26"/>
  <c r="H33" i="26"/>
  <c r="G34" i="26"/>
  <c r="H34" i="26"/>
  <c r="G35" i="26"/>
  <c r="H35" i="26"/>
  <c r="G36" i="26"/>
  <c r="H36" i="26"/>
  <c r="G37" i="26"/>
  <c r="H37" i="26"/>
  <c r="H2" i="26"/>
  <c r="G2" i="26"/>
  <c r="I3" i="26"/>
  <c r="J3" i="26"/>
  <c r="I4" i="26"/>
  <c r="J4" i="26"/>
  <c r="I5" i="26"/>
  <c r="J5" i="26"/>
  <c r="I6" i="26"/>
  <c r="J6" i="26"/>
  <c r="I7" i="26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I18" i="26"/>
  <c r="J18" i="26"/>
  <c r="I19" i="26"/>
  <c r="J19" i="26"/>
  <c r="I20" i="26"/>
  <c r="J20" i="26"/>
  <c r="I21" i="26"/>
  <c r="J21" i="26"/>
  <c r="K21" i="26" s="1"/>
  <c r="I22" i="26"/>
  <c r="J22" i="26"/>
  <c r="K22" i="26" s="1"/>
  <c r="I23" i="26"/>
  <c r="J23" i="26"/>
  <c r="K23" i="26" s="1"/>
  <c r="I24" i="26"/>
  <c r="J24" i="26"/>
  <c r="K24" i="26" s="1"/>
  <c r="I25" i="26"/>
  <c r="J25" i="26"/>
  <c r="K25" i="26" s="1"/>
  <c r="I26" i="26"/>
  <c r="J26" i="26"/>
  <c r="K26" i="26" s="1"/>
  <c r="I27" i="26"/>
  <c r="J27" i="26"/>
  <c r="K27" i="26" s="1"/>
  <c r="I28" i="26"/>
  <c r="J28" i="26"/>
  <c r="K28" i="26" s="1"/>
  <c r="I29" i="26"/>
  <c r="J29" i="26"/>
  <c r="K29" i="26" s="1"/>
  <c r="I30" i="26"/>
  <c r="J30" i="26"/>
  <c r="K30" i="26" s="1"/>
  <c r="I31" i="26"/>
  <c r="J31" i="26"/>
  <c r="K31" i="26" s="1"/>
  <c r="I32" i="26"/>
  <c r="J32" i="26"/>
  <c r="K32" i="26" s="1"/>
  <c r="I33" i="26"/>
  <c r="J33" i="26"/>
  <c r="K33" i="26" s="1"/>
  <c r="I34" i="26"/>
  <c r="J34" i="26"/>
  <c r="K34" i="26" s="1"/>
  <c r="I35" i="26"/>
  <c r="J35" i="26"/>
  <c r="K35" i="26" s="1"/>
  <c r="I36" i="26"/>
  <c r="J36" i="26"/>
  <c r="K36" i="26" s="1"/>
  <c r="I37" i="26"/>
  <c r="J37" i="26"/>
  <c r="K37" i="26" s="1"/>
  <c r="J2" i="26"/>
  <c r="K2" i="26" s="1"/>
  <c r="I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2" i="26"/>
  <c r="N13" i="26" l="1"/>
  <c r="N4" i="26"/>
  <c r="N5" i="26"/>
  <c r="N6" i="26"/>
  <c r="N7" i="26"/>
  <c r="N8" i="26"/>
  <c r="N10" i="26"/>
  <c r="N12" i="26"/>
  <c r="N14" i="26"/>
  <c r="N15" i="26"/>
  <c r="N16" i="26"/>
  <c r="N18" i="26"/>
  <c r="N11" i="26"/>
  <c r="N19" i="26"/>
  <c r="N9" i="26"/>
  <c r="N17" i="26"/>
  <c r="N31" i="26"/>
  <c r="N34" i="26"/>
  <c r="N30" i="26"/>
  <c r="N2" i="26"/>
  <c r="N22" i="26"/>
  <c r="N3" i="26"/>
  <c r="N24" i="26"/>
  <c r="N35" i="26"/>
  <c r="N36" i="26"/>
  <c r="N21" i="26"/>
  <c r="N26" i="26"/>
  <c r="N25" i="26"/>
  <c r="N27" i="26"/>
  <c r="N23" i="26"/>
  <c r="N33" i="26"/>
  <c r="N37" i="26"/>
  <c r="N28" i="26"/>
  <c r="N29" i="26"/>
  <c r="N32" i="26"/>
  <c r="M3" i="26"/>
  <c r="M32" i="26"/>
  <c r="M28" i="26"/>
  <c r="M33" i="26"/>
  <c r="M35" i="26"/>
  <c r="M2" i="26"/>
  <c r="K3" i="26"/>
  <c r="M23" i="26"/>
  <c r="M24" i="26"/>
  <c r="M27" i="26"/>
  <c r="M30" i="26"/>
  <c r="M37" i="26"/>
  <c r="M34" i="26"/>
  <c r="M20" i="26"/>
  <c r="M25" i="26"/>
  <c r="M31" i="26"/>
  <c r="M36" i="26"/>
  <c r="M22" i="26"/>
  <c r="M21" i="26"/>
  <c r="M26" i="26"/>
  <c r="M29" i="26"/>
  <c r="M4" i="26"/>
  <c r="K4" i="26"/>
  <c r="M5" i="26"/>
  <c r="K5" i="26"/>
  <c r="K6" i="26"/>
  <c r="M6" i="26"/>
  <c r="M7" i="26"/>
  <c r="K7" i="26"/>
  <c r="K8" i="26"/>
  <c r="M8" i="26"/>
  <c r="K9" i="26"/>
  <c r="M9" i="26"/>
  <c r="K10" i="26"/>
  <c r="M10" i="26"/>
  <c r="M11" i="26"/>
  <c r="K11" i="26"/>
  <c r="M12" i="26"/>
  <c r="K12" i="26"/>
  <c r="K13" i="26"/>
  <c r="M13" i="26"/>
  <c r="M14" i="26"/>
  <c r="K14" i="26"/>
  <c r="K15" i="26"/>
  <c r="M15" i="26"/>
  <c r="K16" i="26"/>
  <c r="M16" i="26"/>
  <c r="K17" i="26"/>
  <c r="M17" i="26"/>
  <c r="K18" i="26"/>
  <c r="M18" i="26"/>
  <c r="M19" i="26"/>
  <c r="K19" i="26"/>
  <c r="K20" i="26"/>
  <c r="L20" i="26" s="1"/>
  <c r="N20" i="26"/>
  <c r="L2" i="26" l="1"/>
  <c r="L36" i="26"/>
  <c r="L34" i="26"/>
  <c r="L32" i="26"/>
  <c r="L29" i="26"/>
  <c r="L27" i="26"/>
  <c r="L24" i="26"/>
  <c r="L22" i="26"/>
  <c r="L37" i="26"/>
  <c r="L35" i="26"/>
  <c r="L33" i="26"/>
  <c r="L31" i="26"/>
  <c r="L28" i="26"/>
  <c r="L26" i="26"/>
  <c r="L25" i="26"/>
  <c r="L23" i="26"/>
  <c r="L21" i="26"/>
  <c r="L30" i="26"/>
  <c r="L3" i="26"/>
  <c r="L4" i="26"/>
  <c r="L5" i="26"/>
  <c r="L6" i="26"/>
  <c r="L7" i="26"/>
  <c r="L8" i="26"/>
  <c r="L9" i="26"/>
  <c r="L18" i="26"/>
  <c r="L19" i="26"/>
  <c r="L10" i="26"/>
  <c r="L11" i="26"/>
  <c r="L12" i="26"/>
  <c r="L13" i="26"/>
  <c r="L14" i="26"/>
  <c r="L15" i="26"/>
  <c r="L16" i="26"/>
  <c r="L17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elrasoly</author>
  </authors>
  <commentList>
    <comment ref="F1" authorId="0" shapeId="0" xr:uid="{B1511F9A-4D31-4E44-B27F-37A8155128DF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Normalised Speed</t>
        </r>
      </text>
    </comment>
    <comment ref="G1" authorId="0" shapeId="0" xr:uid="{0D1C7441-D636-4483-B653-3F86DDB14660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Centred Evap. Temperature</t>
        </r>
      </text>
    </comment>
    <comment ref="H1" authorId="0" shapeId="0" xr:uid="{86225989-DA70-4D82-84A7-1A5EDF7868EC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Centred Cond. 
Temperature</t>
        </r>
      </text>
    </comment>
    <comment ref="L1" authorId="0" shapeId="0" xr:uid="{07C60756-5C40-4985-B4CC-46647929A125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Centred  r</t>
        </r>
      </text>
    </comment>
    <comment ref="M1" authorId="0" shapeId="0" xr:uid="{2093A747-D94D-44FB-828E-4FC3E866A602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Centred Cond. Pressure</t>
        </r>
      </text>
    </comment>
    <comment ref="N1" authorId="0" shapeId="0" xr:uid="{4B26DACD-526D-4CD7-AA9F-00B266F4D31D}">
      <text>
        <r>
          <rPr>
            <b/>
            <sz val="9"/>
            <color indexed="81"/>
            <rFont val="Tahoma"/>
            <family val="2"/>
          </rPr>
          <t>Ahmed elrasoly:</t>
        </r>
        <r>
          <rPr>
            <sz val="9"/>
            <color indexed="81"/>
            <rFont val="Tahoma"/>
            <family val="2"/>
          </rPr>
          <t xml:space="preserve">
Centred Evap. Pressure</t>
        </r>
      </text>
    </comment>
  </commentList>
</comments>
</file>

<file path=xl/sharedStrings.xml><?xml version="1.0" encoding="utf-8"?>
<sst xmlns="http://schemas.openxmlformats.org/spreadsheetml/2006/main" count="25" uniqueCount="25">
  <si>
    <t>W</t>
  </si>
  <si>
    <t>RPM </t>
  </si>
  <si>
    <t>Q</t>
  </si>
  <si>
    <t>n</t>
  </si>
  <si>
    <t>Pc</t>
  </si>
  <si>
    <t>Pe</t>
  </si>
  <si>
    <t>r</t>
  </si>
  <si>
    <t>r`</t>
  </si>
  <si>
    <t>P`c</t>
  </si>
  <si>
    <t>P`e</t>
  </si>
  <si>
    <t>T`c</t>
  </si>
  <si>
    <t>T`e</t>
  </si>
  <si>
    <t>a0</t>
  </si>
  <si>
    <t>a1</t>
  </si>
  <si>
    <t>a2</t>
  </si>
  <si>
    <t>b1</t>
  </si>
  <si>
    <t>d1</t>
  </si>
  <si>
    <t>e1</t>
  </si>
  <si>
    <t>A0</t>
  </si>
  <si>
    <t>A1</t>
  </si>
  <si>
    <t>B0</t>
  </si>
  <si>
    <t>C0</t>
  </si>
  <si>
    <t>c1</t>
  </si>
  <si>
    <t>TE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</si>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</sst>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"/>
    <numFmt numFmtId="170" formatCode="###.0"/>
    <numFmt numFmtId="173" formatCode="0.0_);[Red]\(0.0\)"/>
  </numFmts>
  <fonts count="11">
    <font>
      <sz val="11"/>
      <name val="明朝"/>
      <family val="3"/>
      <charset val="128"/>
    </font>
    <font>
      <sz val="6"/>
      <name val="明朝"/>
      <family val="3"/>
      <charset val="128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宋体"/>
    </font>
    <font>
      <sz val="12"/>
      <color rgb="FF000000"/>
      <name val="Calibri"/>
      <family val="2"/>
    </font>
    <font>
      <sz val="9.6"/>
      <color rgb="FFFF0000"/>
      <name val="Consolas"/>
      <family val="3"/>
      <charset val="178"/>
    </font>
    <font>
      <i/>
      <sz val="12"/>
      <color rgb="FFFF0000"/>
      <name val="KaTeX_Math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D32F2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8">
    <xf numFmtId="0" fontId="0" fillId="0" borderId="0" xfId="0"/>
    <xf numFmtId="0" fontId="2" fillId="0" borderId="4" xfId="0" applyFont="1" applyBorder="1" applyAlignment="1">
      <alignment horizontal="center" vertical="center"/>
    </xf>
    <xf numFmtId="173" fontId="5" fillId="0" borderId="4" xfId="0" applyNumberFormat="1" applyFont="1" applyBorder="1" applyAlignment="1">
      <alignment horizontal="center" vertical="center" wrapText="1"/>
    </xf>
    <xf numFmtId="173" fontId="5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170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0" xfId="0" applyFont="1"/>
    <xf numFmtId="170" fontId="0" fillId="0" borderId="0" xfId="0" applyNumberFormat="1"/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4" xfId="0" applyNumberFormat="1" applyBorder="1"/>
    <xf numFmtId="0" fontId="10" fillId="0" borderId="0" xfId="0" applyFont="1"/>
  </cellXfs>
  <cellStyles count="2">
    <cellStyle name="Normal" xfId="0" builtinId="0"/>
    <cellStyle name="Normal 2" xfId="1" xr:uid="{AFC5D454-D5A7-4CBE-B43E-19E19BFCF8B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worksheet" Target="worksheets/sheet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400"/>
              <a:t>Comparison of Volumetric efficiency  wit measured  data and calculation</a:t>
            </a:r>
            <a:r>
              <a:rPr lang="ja-JP" altLang="en-US"/>
              <a:t>
</a:t>
            </a:r>
          </a:p>
        </c:rich>
      </c:tx>
      <c:layout>
        <c:manualLayout>
          <c:xMode val="edge"/>
          <c:yMode val="edge"/>
          <c:x val="0.16199397575419003"/>
          <c:y val="4.94280999768909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291666666666666E-2"/>
          <c:y val="0.14309764309764308"/>
          <c:w val="0.76701388888888888"/>
          <c:h val="0.747474747474747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A58-435E-B8BB-1E51C253C900}"/>
            </c:ext>
          </c:extLst>
        </c:ser>
        <c:ser>
          <c:idx val="1"/>
          <c:order val="1"/>
          <c:spPr>
            <a:ln w="28575">
              <a:noFill/>
            </a:ln>
          </c:spPr>
          <c:trendline>
            <c:spPr>
              <a:ln w="12700">
                <a:solidFill>
                  <a:srgbClr val="FF00FF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A58-435E-B8BB-1E51C253C900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A58-435E-B8BB-1E51C253C900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A58-435E-B8BB-1E51C253C900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A58-435E-B8BB-1E51C253C900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8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3A58-435E-B8BB-1E51C253C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15128"/>
        <c:axId val="298411992"/>
      </c:scatterChart>
      <c:valAx>
        <c:axId val="298415128"/>
        <c:scaling>
          <c:orientation val="minMax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Compression rate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　P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c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/P</a:t>
                </a: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e</a:t>
                </a:r>
                <a:endParaRPr lang="ja-JP" altLang="en-US" sz="14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c:rich>
          </c:tx>
          <c:layout>
            <c:manualLayout>
              <c:xMode val="edge"/>
              <c:yMode val="edge"/>
              <c:x val="0.40104166666666669"/>
              <c:y val="0.9444444444444444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8411992"/>
        <c:crosses val="autoZero"/>
        <c:crossBetween val="midCat"/>
      </c:valAx>
      <c:valAx>
        <c:axId val="298411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Volumetric efficiency</a:t>
                </a: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　ηv</a:t>
                </a:r>
              </a:p>
            </c:rich>
          </c:tx>
          <c:layout>
            <c:manualLayout>
              <c:xMode val="edge"/>
              <c:yMode val="edge"/>
              <c:x val="1.1458333333333333E-2"/>
              <c:y val="0.436026936026936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84151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9201388888888888"/>
          <c:y val="0.15399257716950329"/>
          <c:w val="6.25E-2"/>
          <c:h val="0.4238664216228617"/>
        </c:manualLayout>
      </c:layout>
      <c:overlay val="0"/>
      <c:spPr>
        <a:solidFill>
          <a:srgbClr val="FFFFFF"/>
        </a:solidFill>
        <a:ln w="25400">
          <a:solidFill>
            <a:srgbClr val="FF00FF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49-437A-9342-65547BD92F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049-437A-9342-65547BD92F5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049-437A-9342-65547BD92F5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049-437A-9342-65547BD92F5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049-437A-9342-65547BD92F5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049-437A-9342-65547BD92F5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049-437A-9342-65547BD92F5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049-437A-9342-65547BD92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280144"/>
        <c:axId val="509980272"/>
      </c:barChart>
      <c:catAx>
        <c:axId val="77828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80272"/>
        <c:crosses val="autoZero"/>
        <c:auto val="1"/>
        <c:lblAlgn val="ctr"/>
        <c:lblOffset val="100"/>
        <c:noMultiLvlLbl val="0"/>
      </c:catAx>
      <c:valAx>
        <c:axId val="5099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8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5E-4D50-93D0-CBA44C5070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D5E-4D50-93D0-CBA44C50709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D5E-4D50-93D0-CBA44C50709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D5E-4D50-93D0-CBA44C50709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D5E-4D50-93D0-CBA44C50709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D5E-4D50-93D0-CBA44C50709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D5E-4D50-93D0-CBA44C50709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D5E-4D50-93D0-CBA44C507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164128"/>
        <c:axId val="509946192"/>
      </c:barChart>
      <c:catAx>
        <c:axId val="5781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46192"/>
        <c:crosses val="autoZero"/>
        <c:auto val="1"/>
        <c:lblAlgn val="ctr"/>
        <c:lblOffset val="100"/>
        <c:noMultiLvlLbl val="0"/>
      </c:catAx>
      <c:valAx>
        <c:axId val="50994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6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400"/>
              <a:t>Cooling capacity</a:t>
            </a:r>
            <a:endParaRPr lang="ja-JP" altLang="en-US" sz="1400"/>
          </a:p>
        </c:rich>
      </c:tx>
      <c:layout>
        <c:manualLayout>
          <c:xMode val="edge"/>
          <c:yMode val="edge"/>
          <c:x val="0.40410891094447798"/>
          <c:y val="2.02020686928935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291666666666666E-2"/>
          <c:y val="0.12121212121212122"/>
          <c:w val="0.81354166666666672"/>
          <c:h val="0.7760942760942760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0070C0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94E-4EAE-B739-32505A9B936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7030A0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94E-4EAE-B739-32505A9B936F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chemeClr val="accent6">
                    <a:lumMod val="75000"/>
                  </a:schemeClr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94E-4EAE-B739-32505A9B936F}"/>
            </c:ext>
          </c:extLst>
        </c:ser>
        <c:ser>
          <c:idx val="3"/>
          <c:order val="3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94E-4EAE-B739-32505A9B936F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394E-4EAE-B739-32505A9B936F}"/>
            </c:ext>
          </c:extLst>
        </c:ser>
        <c:ser>
          <c:idx val="5"/>
          <c:order val="5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394E-4EAE-B739-32505A9B9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12776"/>
        <c:axId val="298411600"/>
      </c:scatterChart>
      <c:valAx>
        <c:axId val="298412776"/>
        <c:scaling>
          <c:orientation val="minMax"/>
          <c:max val="-1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/>
                  <a:t>Evaporating</a:t>
                </a:r>
                <a:r>
                  <a:rPr lang="en-US" altLang="ja-JP" baseline="0"/>
                  <a:t> Temp.</a:t>
                </a:r>
                <a:r>
                  <a:rPr lang="ja-JP" altLang="en-US"/>
                  <a:t>℃</a:t>
                </a:r>
              </a:p>
            </c:rich>
          </c:tx>
          <c:layout>
            <c:manualLayout>
              <c:xMode val="edge"/>
              <c:yMode val="edge"/>
              <c:x val="0.44479166666666664"/>
              <c:y val="0.9511784511784511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8411600"/>
        <c:crosses val="autoZero"/>
        <c:crossBetween val="midCat"/>
        <c:majorUnit val="1"/>
      </c:valAx>
      <c:valAx>
        <c:axId val="298411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Cooling capacity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　</a:t>
                </a:r>
                <a:r>
                  <a:rPr lang="en-US" alt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Kcal/h</a:t>
                </a:r>
                <a:endPara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endParaRPr>
              </a:p>
            </c:rich>
          </c:tx>
          <c:layout>
            <c:manualLayout>
              <c:xMode val="edge"/>
              <c:yMode val="edge"/>
              <c:x val="1.4583333333333334E-2"/>
              <c:y val="0.4377104377104377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8412776"/>
        <c:crossesAt val="-3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1840277777777779"/>
          <c:y val="0.1061640719567758"/>
          <c:w val="4.9118110236220473E-2"/>
          <c:h val="0.215809786339598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/>
            </a:pPr>
            <a:r>
              <a:rPr lang="en-US" altLang="ja-JP" sz="1400"/>
              <a:t>INPUT</a:t>
            </a:r>
            <a:endParaRPr lang="ja-JP" altLang="en-US" sz="14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0070C0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DCC-4DAC-8DD8-D193A6EE9E7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DCC-4DAC-8DD8-D193A6EE9E78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00B050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DCC-4DAC-8DD8-D193A6EE9E78}"/>
            </c:ext>
          </c:extLst>
        </c:ser>
        <c:ser>
          <c:idx val="3"/>
          <c:order val="3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DCC-4DAC-8DD8-D193A6EE9E78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3DCC-4DAC-8DD8-D193A6EE9E78}"/>
            </c:ext>
          </c:extLst>
        </c:ser>
        <c:ser>
          <c:idx val="5"/>
          <c:order val="5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3DCC-4DAC-8DD8-D193A6EE9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12384"/>
        <c:axId val="298413168"/>
      </c:scatterChart>
      <c:valAx>
        <c:axId val="298412384"/>
        <c:scaling>
          <c:orientation val="minMax"/>
          <c:max val="-1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 altLang="ja-JP" sz="1400"/>
                  <a:t>Evaporating Temp.</a:t>
                </a:r>
                <a:r>
                  <a:rPr lang="ja-JP" altLang="en-US" sz="1400"/>
                  <a:t>　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298413168"/>
        <c:crosses val="autoZero"/>
        <c:crossBetween val="midCat"/>
        <c:majorUnit val="2"/>
      </c:valAx>
      <c:valAx>
        <c:axId val="298413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 altLang="ja-JP" sz="1400"/>
                  <a:t>INPUT</a:t>
                </a:r>
                <a:r>
                  <a:rPr lang="ja-JP" altLang="en-US" sz="1400"/>
                  <a:t>　Ｗ</a:t>
                </a:r>
              </a:p>
            </c:rich>
          </c:tx>
          <c:overlay val="0"/>
        </c:title>
        <c:numFmt formatCode="0_ " sourceLinked="0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298412384"/>
        <c:crossesAt val="-40"/>
        <c:crossBetween val="midCat"/>
      </c:valAx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3065446501057048"/>
          <c:y val="9.6681746130094448E-2"/>
          <c:w val="5.1308310571943898E-2"/>
          <c:h val="0.24358091619098093"/>
        </c:manualLayout>
      </c:layout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r>
              <a:rPr lang="ja-JP" altLang="en-US"/>
              <a:t>入力特性
</a:t>
            </a:r>
          </a:p>
        </c:rich>
      </c:tx>
      <c:layout>
        <c:manualLayout>
          <c:xMode val="edge"/>
          <c:yMode val="edge"/>
          <c:x val="0.46729857819905213"/>
          <c:y val="1.99386503067484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0995260663507"/>
          <c:y val="0.13803680981595093"/>
          <c:w val="0.75639810426540288"/>
          <c:h val="0.7101226993865030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B93-49CA-9718-9B235A94533F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B93-49CA-9718-9B235A94533F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B93-49CA-9718-9B235A94533F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B93-49CA-9718-9B235A94533F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B93-49CA-9718-9B235A94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256856"/>
        <c:axId val="299255288"/>
      </c:lineChart>
      <c:catAx>
        <c:axId val="29925685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明朝"/>
                  </a:rPr>
                  <a:t>蒸発温度(℃）</a:t>
                </a:r>
              </a:p>
            </c:rich>
          </c:tx>
          <c:layout>
            <c:manualLayout>
              <c:xMode val="edge"/>
              <c:yMode val="edge"/>
              <c:x val="0.45592417061611373"/>
              <c:y val="0.8972392638036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2552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99255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明朝"/>
                  </a:rPr>
                  <a:t>入力(W)</a:t>
                </a:r>
              </a:p>
            </c:rich>
          </c:tx>
          <c:layout>
            <c:manualLayout>
              <c:xMode val="edge"/>
              <c:yMode val="edge"/>
              <c:x val="4.1706161137440759E-2"/>
              <c:y val="0.446319018404907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256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00473933649284"/>
          <c:y val="0.14723926380368099"/>
          <c:w val="5.308056872037914E-2"/>
          <c:h val="0.154907975460122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明朝"/>
              <a:ea typeface="明朝"/>
              <a:cs typeface="明朝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明朝"/>
          <a:ea typeface="明朝"/>
          <a:cs typeface="明朝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r>
              <a:rPr lang="ja-JP" altLang="en-US"/>
              <a:t>冷凍能力　（ コンプ測定条件）
</a:t>
            </a:r>
          </a:p>
        </c:rich>
      </c:tx>
      <c:layout>
        <c:manualLayout>
          <c:xMode val="edge"/>
          <c:yMode val="edge"/>
          <c:x val="0.37931034482758619"/>
          <c:y val="2.19435736677115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5960591133005"/>
          <c:y val="0.10344827586206896"/>
          <c:w val="0.77832512315270941"/>
          <c:h val="0.7413793103448276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65F-42B1-9332-AFF559841BE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65F-42B1-9332-AFF559841BE2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65F-42B1-9332-AFF559841BE2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865F-42B1-9332-AFF559841BE2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865F-42B1-9332-AFF559841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254112"/>
        <c:axId val="299254896"/>
      </c:lineChart>
      <c:catAx>
        <c:axId val="29925411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明朝"/>
                  </a:rPr>
                  <a:t>蒸発温度(℃)</a:t>
                </a:r>
              </a:p>
            </c:rich>
          </c:tx>
          <c:layout>
            <c:manualLayout>
              <c:xMode val="edge"/>
              <c:yMode val="edge"/>
              <c:x val="0.44926108374384238"/>
              <c:y val="0.89498432601880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254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99254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明朝"/>
                  </a:rPr>
                  <a:t>  冷凍能力（kcal/h)</a:t>
                </a:r>
              </a:p>
            </c:rich>
          </c:tx>
          <c:layout>
            <c:manualLayout>
              <c:xMode val="edge"/>
              <c:yMode val="edge"/>
              <c:x val="3.5467980295566505E-2"/>
              <c:y val="0.3542319749216301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254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87027914614122"/>
          <c:y val="0.12852664576802508"/>
          <c:w val="6.3054187192118194E-2"/>
          <c:h val="0.158307210031347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明朝"/>
              <a:ea typeface="明朝"/>
              <a:cs typeface="明朝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明朝"/>
          <a:ea typeface="明朝"/>
          <a:cs typeface="明朝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100" b="1" i="0" u="sng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コンプ定格冷条件に対する　COP</a:t>
            </a:r>
          </a:p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 altLang="en-US" sz="1100" b="1" i="0" u="sng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0.38020833333333331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958333333333334E-2"/>
          <c:y val="0.14309764309764308"/>
          <c:w val="0.82708333333333328"/>
          <c:h val="0.7474747474747475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DC9-4626-96C4-4194AF8258E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DC9-4626-96C4-4194AF8258E9}"/>
            </c:ext>
          </c:extLst>
        </c:ser>
        <c:ser>
          <c:idx val="2"/>
          <c:order val="2"/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DC9-4626-96C4-4194AF8258E9}"/>
            </c:ext>
          </c:extLst>
        </c:ser>
        <c:ser>
          <c:idx val="3"/>
          <c:order val="3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DC9-4626-96C4-4194AF8258E9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1DC9-4626-96C4-4194AF82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90440"/>
        <c:axId val="299392008"/>
      </c:scatterChart>
      <c:valAx>
        <c:axId val="299390440"/>
        <c:scaling>
          <c:orientation val="minMax"/>
          <c:max val="-18"/>
          <c:min val="-3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蒸発温度　℃</a:t>
                </a:r>
              </a:p>
            </c:rich>
          </c:tx>
          <c:layout>
            <c:manualLayout>
              <c:xMode val="edge"/>
              <c:yMode val="edge"/>
              <c:x val="0.44166666666666665"/>
              <c:y val="0.9444444444444444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9392008"/>
        <c:crossesAt val="-32"/>
        <c:crossBetween val="midCat"/>
        <c:majorUnit val="2"/>
        <c:minorUnit val="0.5"/>
      </c:valAx>
      <c:valAx>
        <c:axId val="299392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COP</a:t>
                </a:r>
              </a:p>
            </c:rich>
          </c:tx>
          <c:layout>
            <c:manualLayout>
              <c:xMode val="edge"/>
              <c:yMode val="edge"/>
              <c:x val="1.1458333333333333E-2"/>
              <c:y val="0.48821548821548821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9390440"/>
        <c:crossesAt val="-32"/>
        <c:crossBetween val="midCat"/>
        <c:majorUnit val="0.2"/>
        <c:minorUnit val="0.0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666666666666663"/>
          <c:y val="0.16737675555818332"/>
          <c:w val="6.6666666666666652E-2"/>
          <c:h val="0.170033670033669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2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明朝"/>
              </a:defRPr>
            </a:pPr>
            <a:r>
              <a:rPr lang="ja-JP" altLang="en-US" sz="1400">
                <a:latin typeface="+mn-ea"/>
                <a:ea typeface="+mn-ea"/>
              </a:rPr>
              <a:t>冷蔵庫条件　冷凍能力</a:t>
            </a:r>
            <a:r>
              <a:rPr lang="ja-JP" altLang="en-US">
                <a:latin typeface="+mn-ea"/>
                <a:ea typeface="+mn-ea"/>
              </a:rPr>
              <a:t>
 </a:t>
            </a:r>
          </a:p>
        </c:rich>
      </c:tx>
      <c:layout>
        <c:manualLayout>
          <c:xMode val="edge"/>
          <c:yMode val="edge"/>
          <c:x val="0.43229166666666669"/>
          <c:y val="5.222734254992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16666666666667"/>
          <c:y val="0.11827956989247312"/>
          <c:w val="0.77187499999999998"/>
          <c:h val="0.7726574500768048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E86-42DD-925F-564CF3F84778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E86-42DD-925F-564CF3F84778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E86-42DD-925F-564CF3F84778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E86-42DD-925F-564CF3F84778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AE86-42DD-925F-564CF3F84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389264"/>
        <c:axId val="299388872"/>
      </c:lineChart>
      <c:catAx>
        <c:axId val="29938926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蒸発温度(℃)</a:t>
                </a:r>
              </a:p>
            </c:rich>
          </c:tx>
          <c:layout>
            <c:manualLayout>
              <c:xMode val="edge"/>
              <c:yMode val="edge"/>
              <c:x val="0.4375"/>
              <c:y val="0.940092165898617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3888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99388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明朝"/>
                    <a:ea typeface="明朝"/>
                    <a:cs typeface="明朝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冷凍能力(kcal/h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明朝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778801843317972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明朝"/>
                <a:ea typeface="明朝"/>
                <a:cs typeface="明朝"/>
              </a:defRPr>
            </a:pPr>
            <a:endParaRPr lang="en-US"/>
          </a:p>
        </c:txPr>
        <c:crossAx val="2993892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786746089621216"/>
          <c:y val="0.13568868407578086"/>
          <c:w val="9.9991314821339328E-2"/>
          <c:h val="0.155145929339477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200" b="0" i="0" u="none" strike="noStrike" baseline="0">
              <a:solidFill>
                <a:srgbClr val="000000"/>
              </a:solidFill>
              <a:latin typeface="+mn-ea"/>
              <a:ea typeface="+mn-ea"/>
              <a:cs typeface="明朝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明朝"/>
          <a:ea typeface="明朝"/>
          <a:cs typeface="明朝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冷蔵庫条件　COP</a:t>
            </a:r>
          </a:p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 altLang="en-US" sz="1100" b="0" i="0" u="sng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0.37187500000000001"/>
          <c:y val="4.37710437710437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958333333333334E-2"/>
          <c:y val="0.11279461279461279"/>
          <c:w val="0.82708333333333328"/>
          <c:h val="0.7777777777777777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604-49A2-89C4-4D7D0061CBC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604-49A2-89C4-4D7D0061CBC2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604-49A2-89C4-4D7D0061CBC2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604-49A2-89C4-4D7D0061CBC2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604-49A2-89C4-4D7D0061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90048"/>
        <c:axId val="299392400"/>
      </c:scatterChart>
      <c:valAx>
        <c:axId val="299390048"/>
        <c:scaling>
          <c:orientation val="minMax"/>
          <c:max val="-18"/>
          <c:min val="-3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400"/>
                  <a:t>蒸発温度</a:t>
                </a:r>
              </a:p>
            </c:rich>
          </c:tx>
          <c:layout>
            <c:manualLayout>
              <c:xMode val="edge"/>
              <c:yMode val="edge"/>
              <c:x val="0.45416666666666666"/>
              <c:y val="0.9444444444444444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9392400"/>
        <c:crosses val="autoZero"/>
        <c:crossBetween val="midCat"/>
        <c:majorUnit val="2"/>
      </c:valAx>
      <c:valAx>
        <c:axId val="29939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ja-JP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ＣＯＰ</a:t>
                </a:r>
              </a:p>
            </c:rich>
          </c:tx>
          <c:layout>
            <c:manualLayout>
              <c:xMode val="edge"/>
              <c:yMode val="edge"/>
              <c:x val="1.1458333333333333E-2"/>
              <c:y val="0.4696969696969697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299390048"/>
        <c:crossesAt val="-32"/>
        <c:crossBetween val="midCat"/>
        <c:majorUnit val="0.1"/>
        <c:minorUnit val="0.0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251730890558547"/>
          <c:y val="0.15937149270482603"/>
          <c:w val="6.6666666666666652E-2"/>
          <c:h val="0.22166105499438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/>
            </a:pPr>
            <a:r>
              <a:rPr lang="ja-JP" altLang="en-US" sz="1400"/>
              <a:t>冷蔵庫条件　ＣＯＰ　比較　</a:t>
            </a:r>
            <a:endParaRPr lang="en-US" altLang="ja-JP" sz="1400"/>
          </a:p>
          <a:p>
            <a:pPr>
              <a:defRPr lang="ja-JP"/>
            </a:pPr>
            <a:r>
              <a:rPr lang="ja-JP" altLang="en-US" sz="1400"/>
              <a:t>凝縮温度　５５℃、蒸発温度</a:t>
            </a:r>
            <a:r>
              <a:rPr lang="en-US" altLang="ja-JP" sz="1400"/>
              <a:t>-</a:t>
            </a:r>
            <a:r>
              <a:rPr lang="ja-JP" altLang="en-US" sz="1400"/>
              <a:t>３２℃を１００％とした場合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E6-4086-B4DB-1D09CDBBD118}"/>
            </c:ext>
          </c:extLst>
        </c:ser>
        <c:ser>
          <c:idx val="1"/>
          <c:order val="1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5E6-4086-B4DB-1D09CDBBD118}"/>
            </c:ext>
          </c:extLst>
        </c:ser>
        <c:ser>
          <c:idx val="2"/>
          <c:order val="2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5E6-4086-B4DB-1D09CDBBD118}"/>
            </c:ext>
          </c:extLst>
        </c:ser>
        <c:ser>
          <c:idx val="3"/>
          <c:order val="3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A5E6-4086-B4DB-1D09CDBBD118}"/>
            </c:ext>
          </c:extLst>
        </c:ser>
        <c:ser>
          <c:idx val="4"/>
          <c:order val="4"/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A5E6-4086-B4DB-1D09CDBBD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91616"/>
        <c:axId val="299256072"/>
      </c:scatterChart>
      <c:valAx>
        <c:axId val="299391616"/>
        <c:scaling>
          <c:orientation val="minMax"/>
          <c:max val="-18"/>
          <c:min val="-3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ja-JP" sz="1400"/>
                </a:pPr>
                <a:r>
                  <a:rPr lang="ja-JP" altLang="en-US" sz="1400"/>
                  <a:t>蒸発温度　℃</a:t>
                </a:r>
              </a:p>
            </c:rich>
          </c:tx>
          <c:overlay val="0"/>
        </c:title>
        <c:numFmt formatCode="0_ " sourceLinked="1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299256072"/>
        <c:crosses val="autoZero"/>
        <c:crossBetween val="midCat"/>
        <c:majorUnit val="2"/>
      </c:valAx>
      <c:valAx>
        <c:axId val="299256072"/>
        <c:scaling>
          <c:orientation val="minMax"/>
          <c:max val="3"/>
          <c:min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ja-JP" sz="1400"/>
                </a:pPr>
                <a:r>
                  <a:rPr lang="ja-JP" altLang="en-US" sz="1400"/>
                  <a:t>比率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299391616"/>
        <c:crossesAt val="-40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91434394157381393"/>
          <c:y val="0.21374136212968151"/>
          <c:w val="6.623135520735543E-2"/>
          <c:h val="0.25461996022217742"/>
        </c:manualLayout>
      </c:layout>
      <c:overlay val="0"/>
      <c:txPr>
        <a:bodyPr/>
        <a:lstStyle/>
        <a:p>
          <a:pPr>
            <a:defRPr lang="ja-JP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3"/>
  <sheetViews>
    <sheetView zoomScale="83" workbookViewId="0"/>
    <sheetView zoomScale="83" workbookViewId="1"/>
  </sheetViews>
  <pageMargins left="0.78700000000000003" right="0.78700000000000003" top="0.98399999999999999" bottom="0.98399999999999999" header="0.51200000000000001" footer="0.51200000000000001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77D321-595C-4F77-8111-A4070C71A973}">
  <sheetPr/>
  <sheetViews>
    <sheetView zoomScale="76" workbookViewId="0" zoomToFit="1"/>
    <sheetView zoomScale="76" workbookViewId="1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CC5E0F-D41B-4BA9-AB6B-0920ECB16B5B}">
  <sheetPr/>
  <sheetViews>
    <sheetView zoomScale="76" workbookViewId="0" zoomToFit="1"/>
    <sheetView zoomScale="76" workbookViewId="1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4"/>
  <sheetViews>
    <sheetView zoomScale="83" workbookViewId="0"/>
    <sheetView zoomScale="83" workbookViewId="1"/>
  </sheetViews>
  <pageMargins left="0.78700000000000003" right="0.78700000000000003" top="0.98399999999999999" bottom="0.98399999999999999" header="0.51200000000000001" footer="0.51200000000000001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5"/>
  <sheetViews>
    <sheetView zoomScale="71" workbookViewId="0" zoomToFit="1"/>
    <sheetView zoomScale="71" workbookViewId="1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1"/>
  <sheetViews>
    <sheetView zoomScale="76" workbookViewId="0"/>
    <sheetView zoomScale="76" workbookViewId="1"/>
  </sheetViews>
  <pageMargins left="0.37" right="0.21" top="0.83" bottom="0.53" header="0.56999999999999995" footer="0.21"/>
  <pageSetup paperSize="9" orientation="landscape" r:id="rId1"/>
  <headerFooter alignWithMargins="0">
    <oddHeader>&amp;CCQN60L6C</oddHeader>
    <oddFooter>- &amp;P -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2"/>
  <sheetViews>
    <sheetView zoomScale="78" workbookViewId="0"/>
    <sheetView zoomScale="78" workbookViewId="1"/>
  </sheetViews>
  <pageMargins left="0.78700000000000003" right="0.21" top="0.98399999999999999" bottom="0.52" header="0.5" footer="0.23"/>
  <pageSetup paperSize="9" orientation="landscape" horizontalDpi="4294967292" r:id="rId1"/>
  <headerFooter alignWithMargins="0">
    <oddHeader>&amp;CCQN60L6C</oddHeader>
    <oddFooter>- &amp;P -</oddFoot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2"/>
  <sheetViews>
    <sheetView zoomScale="83" workbookViewId="0"/>
    <sheetView zoomScale="83" workbookViewId="1"/>
  </sheetViews>
  <pageMargins left="0.78700000000000003" right="0.78700000000000003" top="0.98399999999999999" bottom="0.98399999999999999" header="0.51200000000000001" footer="0.51200000000000001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3"/>
  <sheetViews>
    <sheetView zoomScale="76" workbookViewId="0"/>
    <sheetView zoomScale="76" workbookViewId="1"/>
  </sheetViews>
  <pageMargins left="0.78700000000000003" right="0.78700000000000003" top="0.8" bottom="0.56999999999999995" header="0.5" footer="0.27"/>
  <pageSetup paperSize="9" orientation="landscape" horizontalDpi="4294967292" r:id="rId1"/>
  <headerFooter alignWithMargins="0">
    <oddHeader>&amp;A</oddHeader>
    <oddFooter>- &amp;P -</oddFoot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1"/>
  <sheetViews>
    <sheetView zoomScale="83" workbookViewId="0"/>
    <sheetView zoomScale="83" workbookViewId="1"/>
  </sheetViews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6"/>
  <sheetViews>
    <sheetView zoomScale="85" workbookViewId="0" zoomToFit="1"/>
    <sheetView zoomScale="85" workbookViewId="1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01349" cy="58481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0.85646</cdr:x>
      <cdr:y>0.06994</cdr:y>
    </cdr:from>
    <cdr:to>
      <cdr:x>0.96908</cdr:x>
      <cdr:y>0.1122</cdr:y>
    </cdr:to>
    <cdr:sp macro="" textlink="">
      <cdr:nvSpPr>
        <cdr:cNvPr id="2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31463" y="395077"/>
          <a:ext cx="1029771" cy="238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27432" bIns="18288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Cond. Temp(℃</a:t>
          </a: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）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8EC5A-1704-0985-72E7-9C1C059EA4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67158-5FB8-BAB9-C16D-7099D4E607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01349" cy="58481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0.87528</cdr:x>
      <cdr:y>0.05978</cdr:y>
    </cdr:from>
    <cdr:to>
      <cdr:x>0.9879</cdr:x>
      <cdr:y>0.10204</cdr:y>
    </cdr:to>
    <cdr:sp macro="" textlink="">
      <cdr:nvSpPr>
        <cdr:cNvPr id="3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03602" y="337697"/>
          <a:ext cx="1029771" cy="238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27432" bIns="18288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Cond Temp(℃</a:t>
          </a: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）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0.8875</cdr:x>
      <cdr:y>0.03362</cdr:y>
    </cdr:from>
    <cdr:to>
      <cdr:x>1</cdr:x>
      <cdr:y>0.07582</cdr:y>
    </cdr:to>
    <cdr:sp macro="" textlink="">
      <cdr:nvSpPr>
        <cdr:cNvPr id="2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23522" y="190190"/>
          <a:ext cx="1029771" cy="238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27432" bIns="18288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Cond Temp(℃</a:t>
          </a: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）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7635240" cy="470916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0.88117</cdr:x>
      <cdr:y>0.0949</cdr:y>
    </cdr:from>
    <cdr:to>
      <cdr:x>0.96358</cdr:x>
      <cdr:y>0.1531</cdr:y>
    </cdr:to>
    <cdr:sp macro="" textlink="">
      <cdr:nvSpPr>
        <cdr:cNvPr id="10241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54744" y="589386"/>
          <a:ext cx="828175" cy="3613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18288" bIns="1828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凝縮温度</a:t>
          </a: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(℃)</a:t>
          </a:r>
        </a:p>
        <a:p xmlns:a="http://schemas.openxmlformats.org/drawingml/2006/main"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明朝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7543800" cy="473964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0.89143</cdr:x>
      <cdr:y>0.03713</cdr:y>
    </cdr:from>
    <cdr:to>
      <cdr:x>0.99193</cdr:x>
      <cdr:y>0.10138</cdr:y>
    </cdr:to>
    <cdr:sp macro="" textlink="">
      <cdr:nvSpPr>
        <cdr:cNvPr id="11265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18277" y="225658"/>
          <a:ext cx="971621" cy="3904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凝縮温度</a:t>
          </a: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(℃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7056120" cy="485394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0.87528</cdr:x>
      <cdr:y>0.07806</cdr:y>
    </cdr:from>
    <cdr:to>
      <cdr:x>0.9879</cdr:x>
      <cdr:y>0.12032</cdr:y>
    </cdr:to>
    <cdr:sp macro="" textlink="">
      <cdr:nvSpPr>
        <cdr:cNvPr id="2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03601" y="440980"/>
          <a:ext cx="1029771" cy="238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27432" bIns="18288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凝縮温度</a:t>
          </a:r>
          <a:r>
            <a:rPr lang="en-US" altLang="ja-JP" sz="1100" b="0" i="0" strike="noStrike">
              <a:solidFill>
                <a:srgbClr val="000000"/>
              </a:solidFill>
              <a:latin typeface="明朝"/>
            </a:rPr>
            <a:t>(℃</a:t>
          </a:r>
          <a:r>
            <a:rPr lang="ja-JP" altLang="en-US" sz="1100" b="0" i="0" strike="noStrike">
              <a:solidFill>
                <a:srgbClr val="000000"/>
              </a:solidFill>
              <a:latin typeface="明朝"/>
            </a:rPr>
            <a:t>）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6949440" cy="470916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0.8805</cdr:x>
      <cdr:y>0.05925</cdr:y>
    </cdr:from>
    <cdr:to>
      <cdr:x>0.993</cdr:x>
      <cdr:y>0.09775</cdr:y>
    </cdr:to>
    <cdr:sp macro="" textlink="">
      <cdr:nvSpPr>
        <cdr:cNvPr id="12289" name="テキスト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51292" y="367396"/>
          <a:ext cx="1028700" cy="2387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+mn-ea"/>
              <a:ea typeface="+mn-ea"/>
            </a:rPr>
            <a:t>凝縮温度</a:t>
          </a:r>
          <a:r>
            <a:rPr lang="en-US" altLang="ja-JP" sz="1200" b="0" i="0" strike="noStrike">
              <a:solidFill>
                <a:srgbClr val="000000"/>
              </a:solidFill>
              <a:latin typeface="+mn-ea"/>
              <a:ea typeface="+mn-ea"/>
            </a:rPr>
            <a:t>(℃</a:t>
          </a:r>
          <a:r>
            <a:rPr lang="ja-JP" altLang="en-US" sz="1200" b="0" i="0" strike="noStrike">
              <a:solidFill>
                <a:srgbClr val="000000"/>
              </a:solidFill>
              <a:latin typeface="+mn-ea"/>
              <a:ea typeface="+mn-ea"/>
            </a:rPr>
            <a:t>）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7581900" cy="468630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0.88136</cdr:x>
      <cdr:y>0.03651</cdr:y>
    </cdr:from>
    <cdr:to>
      <cdr:x>0.97664</cdr:x>
      <cdr:y>0.12981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8067560" y="206565"/>
          <a:ext cx="872169" cy="52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ja-JP" altLang="en-US" sz="1100"/>
            <a:t>凝縮温度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7360920" cy="53416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0.89514</cdr:x>
      <cdr:y>0.01925</cdr:y>
    </cdr:from>
    <cdr:to>
      <cdr:x>0.99043</cdr:x>
      <cdr:y>0.11256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8193513" y="108879"/>
          <a:ext cx="872169" cy="52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ja-JP" altLang="en-US" sz="1200"/>
            <a:t>凝縮温度</a:t>
          </a: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23E5-03A6-4F67-991E-428798400454}">
  <dimension ref="A1:AB42"/>
  <sheetViews>
    <sheetView tabSelected="1" workbookViewId="0">
      <selection activeCell="A38" sqref="A38:A44"/>
    </sheetView>
    <sheetView tabSelected="1" workbookViewId="1">
      <selection activeCell="H11" sqref="H11"/>
    </sheetView>
  </sheetViews>
  <sheetFormatPr defaultRowHeight="13.2"/>
  <cols>
    <col min="1" max="1" width="5" bestFit="1" customWidth="1"/>
    <col min="2" max="3" width="19.21875" bestFit="1" customWidth="1"/>
    <col min="4" max="4" width="11" bestFit="1" customWidth="1"/>
    <col min="5" max="5" width="6.5546875" bestFit="1" customWidth="1"/>
    <col min="9" max="9" width="11" bestFit="1" customWidth="1"/>
  </cols>
  <sheetData>
    <row r="1" spans="1:28" ht="17.399999999999999">
      <c r="A1" s="7" t="s">
        <v>1</v>
      </c>
      <c r="B1" s="17" t="s">
        <v>23</v>
      </c>
      <c r="C1" s="17" t="s">
        <v>24</v>
      </c>
      <c r="D1" s="17" t="s">
        <v>0</v>
      </c>
      <c r="E1" s="17" t="s">
        <v>2</v>
      </c>
      <c r="F1" s="14" t="s">
        <v>3</v>
      </c>
      <c r="G1" s="14" t="s">
        <v>11</v>
      </c>
      <c r="H1" s="14" t="s">
        <v>10</v>
      </c>
      <c r="I1" s="14" t="s">
        <v>5</v>
      </c>
      <c r="J1" s="14" t="s">
        <v>4</v>
      </c>
      <c r="K1" s="14" t="s">
        <v>6</v>
      </c>
      <c r="L1" s="14" t="s">
        <v>7</v>
      </c>
      <c r="M1" s="14" t="s">
        <v>8</v>
      </c>
      <c r="N1" s="14" t="s">
        <v>9</v>
      </c>
      <c r="O1" s="15"/>
      <c r="P1" s="14" t="s">
        <v>12</v>
      </c>
      <c r="Q1" s="14" t="s">
        <v>13</v>
      </c>
      <c r="R1" s="14" t="s">
        <v>14</v>
      </c>
      <c r="S1" s="14" t="s">
        <v>15</v>
      </c>
      <c r="T1" s="14" t="s">
        <v>22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  <c r="AA1" s="13"/>
      <c r="AB1" s="10"/>
    </row>
    <row r="2" spans="1:28" ht="15.6">
      <c r="A2" s="1">
        <v>4320</v>
      </c>
      <c r="B2" s="8">
        <v>-35</v>
      </c>
      <c r="C2" s="9">
        <v>35</v>
      </c>
      <c r="D2" s="3">
        <v>90.279153313447765</v>
      </c>
      <c r="E2" s="2">
        <v>126.10968735095042</v>
      </c>
      <c r="F2" s="6">
        <f>$A2/MAX($A$2:$A$37)</f>
        <v>1</v>
      </c>
      <c r="G2" s="16">
        <f>$B2-AVERAGE($B$2:$B$37)</f>
        <v>-10</v>
      </c>
      <c r="H2" s="6">
        <f>$C2-AVERAGE($C$2:$C$37)</f>
        <v>-10</v>
      </c>
      <c r="I2" s="6">
        <f>EXP(68.322-4401/($B2+273.16)-9.8436*LN($B2+273.16)+0.0127711*($B2+273.16))</f>
        <v>0.3719233795238876</v>
      </c>
      <c r="J2" s="6">
        <f>EXP(68.322-4401/($C2+273.16)-9.8436*LN($C2+273.16)+0.0127711*($C2+273.16))</f>
        <v>4.7878318380820248</v>
      </c>
      <c r="K2" s="6">
        <f>$J2/$I2</f>
        <v>12.873167167417922</v>
      </c>
      <c r="L2" s="6">
        <f>$K2-AVERAGE($K$2:$K$37)</f>
        <v>1.3418864876436452</v>
      </c>
      <c r="M2" s="6">
        <f>$J2-AVERAGE($J$2:$J$37)</f>
        <v>-1.5318816424989468</v>
      </c>
      <c r="N2" s="6">
        <f>$I2-AVERAGE($I$2:$I$37)</f>
        <v>-0.25279374390413994</v>
      </c>
      <c r="R2" s="12"/>
      <c r="S2" s="11"/>
      <c r="T2" s="11"/>
    </row>
    <row r="3" spans="1:28" ht="15.6">
      <c r="A3" s="1">
        <v>4320</v>
      </c>
      <c r="B3" s="8">
        <v>-25</v>
      </c>
      <c r="C3" s="9">
        <v>35</v>
      </c>
      <c r="D3" s="3">
        <v>121.10874367936796</v>
      </c>
      <c r="E3" s="2">
        <v>188.40392993286375</v>
      </c>
      <c r="F3" s="6">
        <f t="shared" ref="F3:F37" si="0">$A3/MAX($A$2:$A$37)</f>
        <v>1</v>
      </c>
      <c r="G3" s="16">
        <f t="shared" ref="G3:G37" si="1">$B3-AVERAGE($B$2:$B$37)</f>
        <v>0</v>
      </c>
      <c r="H3" s="6">
        <f t="shared" ref="H3:H37" si="2">$C3-AVERAGE($C$2:$C$37)</f>
        <v>-10</v>
      </c>
      <c r="I3" s="6">
        <f t="shared" ref="I3:I37" si="3">EXP(68.322-4401/($B3+273.16)-9.8436*LN($B3+273.16)+0.0127711*($B3+273.16))</f>
        <v>0.59357850212742569</v>
      </c>
      <c r="J3" s="6">
        <f t="shared" ref="J3:J37" si="4">EXP(68.322-4401/($C3+273.16)-9.8436*LN($C3+273.16)+0.0127711*($C3+273.16))</f>
        <v>4.7878318380820248</v>
      </c>
      <c r="K3" s="6">
        <f t="shared" ref="K3:K37" si="5">$J3/$I3</f>
        <v>8.0660465648976682</v>
      </c>
      <c r="L3" s="6">
        <f t="shared" ref="L3:L37" si="6">$K3-AVERAGE($K$2:$K$37)</f>
        <v>-3.4652341148766084</v>
      </c>
      <c r="M3" s="6">
        <f t="shared" ref="M3:M37" si="7">$J3-AVERAGE($J$2:$J$37)</f>
        <v>-1.5318816424989468</v>
      </c>
      <c r="N3" s="6">
        <f t="shared" ref="N3:N37" si="8">$I3-AVERAGE($I$2:$I$37)</f>
        <v>-3.1138621300601854E-2</v>
      </c>
    </row>
    <row r="4" spans="1:28" ht="15.6">
      <c r="A4" s="1">
        <v>4320</v>
      </c>
      <c r="B4" s="8">
        <v>-15</v>
      </c>
      <c r="C4" s="9">
        <v>35</v>
      </c>
      <c r="D4" s="3">
        <v>151.96043043243981</v>
      </c>
      <c r="E4" s="2">
        <v>279.65586850230437</v>
      </c>
      <c r="F4" s="6">
        <f t="shared" si="0"/>
        <v>1</v>
      </c>
      <c r="G4" s="16">
        <f t="shared" si="1"/>
        <v>10</v>
      </c>
      <c r="H4" s="6">
        <f t="shared" si="2"/>
        <v>-10</v>
      </c>
      <c r="I4" s="6">
        <f t="shared" si="3"/>
        <v>0.90864948863276984</v>
      </c>
      <c r="J4" s="6">
        <f t="shared" si="4"/>
        <v>4.7878318380820248</v>
      </c>
      <c r="K4" s="6">
        <f t="shared" si="5"/>
        <v>5.2691735349856383</v>
      </c>
      <c r="L4" s="6">
        <f t="shared" si="6"/>
        <v>-6.2621071447886383</v>
      </c>
      <c r="M4" s="6">
        <f t="shared" si="7"/>
        <v>-1.5318816424989468</v>
      </c>
      <c r="N4" s="6">
        <f t="shared" si="8"/>
        <v>0.2839323652047423</v>
      </c>
    </row>
    <row r="5" spans="1:28" ht="15.6">
      <c r="A5" s="1">
        <v>4320</v>
      </c>
      <c r="B5" s="8">
        <v>-35</v>
      </c>
      <c r="C5" s="9">
        <v>45</v>
      </c>
      <c r="D5" s="3">
        <v>83.401558404979724</v>
      </c>
      <c r="E5" s="2">
        <v>117.49840523466796</v>
      </c>
      <c r="F5" s="6">
        <f t="shared" si="0"/>
        <v>1</v>
      </c>
      <c r="G5" s="16">
        <f t="shared" si="1"/>
        <v>-10</v>
      </c>
      <c r="H5" s="6">
        <f t="shared" si="2"/>
        <v>0</v>
      </c>
      <c r="I5" s="6">
        <f t="shared" si="3"/>
        <v>0.3719233795238876</v>
      </c>
      <c r="J5" s="6">
        <f t="shared" si="4"/>
        <v>6.2233594418684053</v>
      </c>
      <c r="K5" s="6">
        <f t="shared" si="5"/>
        <v>16.732907325791537</v>
      </c>
      <c r="L5" s="6">
        <f t="shared" si="6"/>
        <v>5.2016266460172602</v>
      </c>
      <c r="M5" s="6">
        <f t="shared" si="7"/>
        <v>-9.6354038712566314E-2</v>
      </c>
      <c r="N5" s="6">
        <f t="shared" si="8"/>
        <v>-0.25279374390413994</v>
      </c>
    </row>
    <row r="6" spans="1:28" ht="15.6">
      <c r="A6" s="1">
        <v>4320</v>
      </c>
      <c r="B6" s="8">
        <v>-25</v>
      </c>
      <c r="C6" s="9">
        <v>45</v>
      </c>
      <c r="D6" s="3">
        <v>109.58515150782176</v>
      </c>
      <c r="E6" s="2">
        <v>179.78125306047977</v>
      </c>
      <c r="F6" s="6">
        <f t="shared" si="0"/>
        <v>1</v>
      </c>
      <c r="G6" s="16">
        <f t="shared" si="1"/>
        <v>0</v>
      </c>
      <c r="H6" s="6">
        <f t="shared" si="2"/>
        <v>0</v>
      </c>
      <c r="I6" s="6">
        <f t="shared" si="3"/>
        <v>0.59357850212742569</v>
      </c>
      <c r="J6" s="6">
        <f t="shared" si="4"/>
        <v>6.2233594418684053</v>
      </c>
      <c r="K6" s="6">
        <f t="shared" si="5"/>
        <v>10.484475801538402</v>
      </c>
      <c r="L6" s="6">
        <f t="shared" si="6"/>
        <v>-1.046804878235875</v>
      </c>
      <c r="M6" s="6">
        <f t="shared" si="7"/>
        <v>-9.6354038712566314E-2</v>
      </c>
      <c r="N6" s="6">
        <f t="shared" si="8"/>
        <v>-3.1138621300601854E-2</v>
      </c>
    </row>
    <row r="7" spans="1:28" ht="15.6">
      <c r="A7" s="1">
        <v>4320</v>
      </c>
      <c r="B7" s="8">
        <v>-15</v>
      </c>
      <c r="C7" s="9">
        <v>45</v>
      </c>
      <c r="D7" s="3">
        <v>134.04620086738089</v>
      </c>
      <c r="E7" s="2">
        <v>271.013594675462</v>
      </c>
      <c r="F7" s="6">
        <f t="shared" si="0"/>
        <v>1</v>
      </c>
      <c r="G7" s="16">
        <f t="shared" si="1"/>
        <v>10</v>
      </c>
      <c r="H7" s="6">
        <f t="shared" si="2"/>
        <v>0</v>
      </c>
      <c r="I7" s="6">
        <f t="shared" si="3"/>
        <v>0.90864948863276984</v>
      </c>
      <c r="J7" s="6">
        <f t="shared" si="4"/>
        <v>6.2233594418684053</v>
      </c>
      <c r="K7" s="6">
        <f t="shared" si="5"/>
        <v>6.8490210138483576</v>
      </c>
      <c r="L7" s="6">
        <f t="shared" si="6"/>
        <v>-4.682259665925919</v>
      </c>
      <c r="M7" s="6">
        <f t="shared" si="7"/>
        <v>-9.6354038712566314E-2</v>
      </c>
      <c r="N7" s="6">
        <f t="shared" si="8"/>
        <v>0.2839323652047423</v>
      </c>
    </row>
    <row r="8" spans="1:28" ht="15.6">
      <c r="A8" s="1">
        <v>4320</v>
      </c>
      <c r="B8" s="8">
        <v>-35</v>
      </c>
      <c r="C8" s="9">
        <v>55</v>
      </c>
      <c r="D8" s="3">
        <v>75.827089239062076</v>
      </c>
      <c r="E8" s="2">
        <v>108.87812811532235</v>
      </c>
      <c r="F8" s="6">
        <f t="shared" si="0"/>
        <v>1</v>
      </c>
      <c r="G8" s="16">
        <f t="shared" si="1"/>
        <v>-10</v>
      </c>
      <c r="H8" s="6">
        <f t="shared" si="2"/>
        <v>10</v>
      </c>
      <c r="I8" s="6">
        <f t="shared" si="3"/>
        <v>0.3719233795238876</v>
      </c>
      <c r="J8" s="6">
        <f t="shared" si="4"/>
        <v>7.9479491617924891</v>
      </c>
      <c r="K8" s="6">
        <f t="shared" si="5"/>
        <v>21.369856264392258</v>
      </c>
      <c r="L8" s="6">
        <f t="shared" si="6"/>
        <v>9.8385755846179812</v>
      </c>
      <c r="M8" s="6">
        <f t="shared" si="7"/>
        <v>1.6282356812115175</v>
      </c>
      <c r="N8" s="6">
        <f t="shared" si="8"/>
        <v>-0.25279374390413994</v>
      </c>
    </row>
    <row r="9" spans="1:28" ht="15.6">
      <c r="A9" s="1">
        <v>4320</v>
      </c>
      <c r="B9" s="8">
        <v>-25</v>
      </c>
      <c r="C9" s="9">
        <v>55</v>
      </c>
      <c r="D9" s="3">
        <v>96.895449480026912</v>
      </c>
      <c r="E9" s="2">
        <v>171.1428330195547</v>
      </c>
      <c r="F9" s="6">
        <f t="shared" si="0"/>
        <v>1</v>
      </c>
      <c r="G9" s="16">
        <f t="shared" si="1"/>
        <v>0</v>
      </c>
      <c r="H9" s="6">
        <f t="shared" si="2"/>
        <v>10</v>
      </c>
      <c r="I9" s="6">
        <f t="shared" si="3"/>
        <v>0.59357850212742569</v>
      </c>
      <c r="J9" s="6">
        <f t="shared" si="4"/>
        <v>7.9479491617924891</v>
      </c>
      <c r="K9" s="6">
        <f t="shared" si="5"/>
        <v>13.389887156132675</v>
      </c>
      <c r="L9" s="6">
        <f t="shared" si="6"/>
        <v>1.858606476358398</v>
      </c>
      <c r="M9" s="6">
        <f t="shared" si="7"/>
        <v>1.6282356812115175</v>
      </c>
      <c r="N9" s="6">
        <f t="shared" si="8"/>
        <v>-3.1138621300601854E-2</v>
      </c>
    </row>
    <row r="10" spans="1:28" ht="15.6">
      <c r="A10" s="1">
        <v>4320</v>
      </c>
      <c r="B10" s="8">
        <v>-15</v>
      </c>
      <c r="C10" s="9">
        <v>55</v>
      </c>
      <c r="D10" s="3">
        <v>114.49662584727415</v>
      </c>
      <c r="E10" s="2">
        <v>262.34882951460065</v>
      </c>
      <c r="F10" s="6">
        <f t="shared" si="0"/>
        <v>1</v>
      </c>
      <c r="G10" s="16">
        <f t="shared" si="1"/>
        <v>10</v>
      </c>
      <c r="H10" s="6">
        <f t="shared" si="2"/>
        <v>10</v>
      </c>
      <c r="I10" s="6">
        <f t="shared" si="3"/>
        <v>0.90864948863276984</v>
      </c>
      <c r="J10" s="6">
        <f t="shared" si="4"/>
        <v>7.9479491617924891</v>
      </c>
      <c r="K10" s="6">
        <f t="shared" si="5"/>
        <v>8.7469912889640646</v>
      </c>
      <c r="L10" s="6">
        <f t="shared" si="6"/>
        <v>-2.784289390810212</v>
      </c>
      <c r="M10" s="6">
        <f t="shared" si="7"/>
        <v>1.6282356812115175</v>
      </c>
      <c r="N10" s="6">
        <f t="shared" si="8"/>
        <v>0.2839323652047423</v>
      </c>
    </row>
    <row r="11" spans="1:28" ht="15.6">
      <c r="A11" s="1">
        <v>3000</v>
      </c>
      <c r="B11" s="8">
        <v>-35</v>
      </c>
      <c r="C11" s="9">
        <v>35</v>
      </c>
      <c r="D11" s="3">
        <v>53.288893500674192</v>
      </c>
      <c r="E11" s="2">
        <v>101.67976645399402</v>
      </c>
      <c r="F11" s="6">
        <f t="shared" si="0"/>
        <v>0.69444444444444442</v>
      </c>
      <c r="G11" s="16">
        <f t="shared" si="1"/>
        <v>-10</v>
      </c>
      <c r="H11" s="6">
        <f t="shared" si="2"/>
        <v>-10</v>
      </c>
      <c r="I11" s="6">
        <f t="shared" si="3"/>
        <v>0.3719233795238876</v>
      </c>
      <c r="J11" s="6">
        <f t="shared" si="4"/>
        <v>4.7878318380820248</v>
      </c>
      <c r="K11" s="6">
        <f t="shared" si="5"/>
        <v>12.873167167417922</v>
      </c>
      <c r="L11" s="6">
        <f t="shared" si="6"/>
        <v>1.3418864876436452</v>
      </c>
      <c r="M11" s="6">
        <f t="shared" si="7"/>
        <v>-1.5318816424989468</v>
      </c>
      <c r="N11" s="6">
        <f t="shared" si="8"/>
        <v>-0.25279374390413994</v>
      </c>
    </row>
    <row r="12" spans="1:28" ht="15.6">
      <c r="A12" s="1">
        <v>3000</v>
      </c>
      <c r="B12" s="8">
        <v>-25</v>
      </c>
      <c r="C12" s="9">
        <v>35</v>
      </c>
      <c r="D12" s="3">
        <v>68.095074462929205</v>
      </c>
      <c r="E12" s="2">
        <v>150.06645720366623</v>
      </c>
      <c r="F12" s="6">
        <f t="shared" si="0"/>
        <v>0.69444444444444442</v>
      </c>
      <c r="G12" s="16">
        <f t="shared" si="1"/>
        <v>0</v>
      </c>
      <c r="H12" s="6">
        <f t="shared" si="2"/>
        <v>-10</v>
      </c>
      <c r="I12" s="6">
        <f t="shared" si="3"/>
        <v>0.59357850212742569</v>
      </c>
      <c r="J12" s="6">
        <f t="shared" si="4"/>
        <v>4.7878318380820248</v>
      </c>
      <c r="K12" s="6">
        <f t="shared" si="5"/>
        <v>8.0660465648976682</v>
      </c>
      <c r="L12" s="6">
        <f t="shared" si="6"/>
        <v>-3.4652341148766084</v>
      </c>
      <c r="M12" s="6">
        <f t="shared" si="7"/>
        <v>-1.5318816424989468</v>
      </c>
      <c r="N12" s="6">
        <f t="shared" si="8"/>
        <v>-3.1138621300601854E-2</v>
      </c>
    </row>
    <row r="13" spans="1:28" ht="15.6">
      <c r="A13" s="1">
        <v>3000</v>
      </c>
      <c r="B13" s="8">
        <v>-15</v>
      </c>
      <c r="C13" s="9">
        <v>35</v>
      </c>
      <c r="D13" s="3">
        <v>80.464627644164096</v>
      </c>
      <c r="E13" s="2">
        <v>220.94586995295271</v>
      </c>
      <c r="F13" s="6">
        <f t="shared" si="0"/>
        <v>0.69444444444444442</v>
      </c>
      <c r="G13" s="16">
        <f t="shared" si="1"/>
        <v>10</v>
      </c>
      <c r="H13" s="6">
        <f t="shared" si="2"/>
        <v>-10</v>
      </c>
      <c r="I13" s="6">
        <f t="shared" si="3"/>
        <v>0.90864948863276984</v>
      </c>
      <c r="J13" s="6">
        <f t="shared" si="4"/>
        <v>4.7878318380820248</v>
      </c>
      <c r="K13" s="6">
        <f t="shared" si="5"/>
        <v>5.2691735349856383</v>
      </c>
      <c r="L13" s="6">
        <f t="shared" si="6"/>
        <v>-6.2621071447886383</v>
      </c>
      <c r="M13" s="6">
        <f t="shared" si="7"/>
        <v>-1.5318816424989468</v>
      </c>
      <c r="N13" s="6">
        <f t="shared" si="8"/>
        <v>0.2839323652047423</v>
      </c>
    </row>
    <row r="14" spans="1:28" ht="15.6">
      <c r="A14" s="1">
        <v>3000</v>
      </c>
      <c r="B14" s="8">
        <v>-35</v>
      </c>
      <c r="C14" s="9">
        <v>45</v>
      </c>
      <c r="D14" s="3">
        <v>58.611992207973564</v>
      </c>
      <c r="E14" s="2">
        <v>93.071003135765352</v>
      </c>
      <c r="F14" s="6">
        <f t="shared" si="0"/>
        <v>0.69444444444444442</v>
      </c>
      <c r="G14" s="16">
        <f t="shared" si="1"/>
        <v>-10</v>
      </c>
      <c r="H14" s="6">
        <f t="shared" si="2"/>
        <v>0</v>
      </c>
      <c r="I14" s="6">
        <f t="shared" si="3"/>
        <v>0.3719233795238876</v>
      </c>
      <c r="J14" s="6">
        <f t="shared" si="4"/>
        <v>6.2233594418684053</v>
      </c>
      <c r="K14" s="6">
        <f t="shared" si="5"/>
        <v>16.732907325791537</v>
      </c>
      <c r="L14" s="6">
        <f t="shared" si="6"/>
        <v>5.2016266460172602</v>
      </c>
      <c r="M14" s="6">
        <f t="shared" si="7"/>
        <v>-9.6354038712566314E-2</v>
      </c>
      <c r="N14" s="6">
        <f t="shared" si="8"/>
        <v>-0.25279374390413994</v>
      </c>
    </row>
    <row r="15" spans="1:28" ht="15.6">
      <c r="A15" s="1">
        <v>3000</v>
      </c>
      <c r="B15" s="8">
        <v>-25</v>
      </c>
      <c r="C15" s="9">
        <v>45</v>
      </c>
      <c r="D15" s="3">
        <v>77.012997947800315</v>
      </c>
      <c r="E15" s="2">
        <v>141.44884307488428</v>
      </c>
      <c r="F15" s="6">
        <f t="shared" si="0"/>
        <v>0.69444444444444442</v>
      </c>
      <c r="G15" s="16">
        <f t="shared" si="1"/>
        <v>0</v>
      </c>
      <c r="H15" s="6">
        <f t="shared" si="2"/>
        <v>0</v>
      </c>
      <c r="I15" s="6">
        <f t="shared" si="3"/>
        <v>0.59357850212742569</v>
      </c>
      <c r="J15" s="6">
        <f t="shared" si="4"/>
        <v>6.2233594418684053</v>
      </c>
      <c r="K15" s="6">
        <f t="shared" si="5"/>
        <v>10.484475801538402</v>
      </c>
      <c r="L15" s="6">
        <f t="shared" si="6"/>
        <v>-1.046804878235875</v>
      </c>
      <c r="M15" s="6">
        <f t="shared" si="7"/>
        <v>-9.6354038712566314E-2</v>
      </c>
      <c r="N15" s="6">
        <f t="shared" si="8"/>
        <v>-3.1138621300601854E-2</v>
      </c>
    </row>
    <row r="16" spans="1:28" ht="15.6">
      <c r="A16" s="1">
        <v>3000</v>
      </c>
      <c r="B16" s="8">
        <v>-15</v>
      </c>
      <c r="C16" s="9">
        <v>45</v>
      </c>
      <c r="D16" s="3">
        <v>94.203454120088495</v>
      </c>
      <c r="E16" s="2">
        <v>212.31303400373096</v>
      </c>
      <c r="F16" s="6">
        <f t="shared" si="0"/>
        <v>0.69444444444444442</v>
      </c>
      <c r="G16" s="16">
        <f t="shared" si="1"/>
        <v>10</v>
      </c>
      <c r="H16" s="6">
        <f t="shared" si="2"/>
        <v>0</v>
      </c>
      <c r="I16" s="6">
        <f t="shared" si="3"/>
        <v>0.90864948863276984</v>
      </c>
      <c r="J16" s="6">
        <f t="shared" si="4"/>
        <v>6.2233594418684053</v>
      </c>
      <c r="K16" s="6">
        <f t="shared" si="5"/>
        <v>6.8490210138483576</v>
      </c>
      <c r="L16" s="6">
        <f t="shared" si="6"/>
        <v>-4.682259665925919</v>
      </c>
      <c r="M16" s="6">
        <f t="shared" si="7"/>
        <v>-9.6354038712566314E-2</v>
      </c>
      <c r="N16" s="6">
        <f t="shared" si="8"/>
        <v>0.2839323652047423</v>
      </c>
    </row>
    <row r="17" spans="1:14" ht="15.6">
      <c r="A17" s="1">
        <v>3000</v>
      </c>
      <c r="B17" s="8">
        <v>-35</v>
      </c>
      <c r="C17" s="9">
        <v>55</v>
      </c>
      <c r="D17" s="3">
        <v>63.445349604334389</v>
      </c>
      <c r="E17" s="2">
        <v>84.455253001203857</v>
      </c>
      <c r="F17" s="6">
        <f t="shared" si="0"/>
        <v>0.69444444444444442</v>
      </c>
      <c r="G17" s="16">
        <f t="shared" si="1"/>
        <v>-10</v>
      </c>
      <c r="H17" s="6">
        <f t="shared" si="2"/>
        <v>10</v>
      </c>
      <c r="I17" s="6">
        <f t="shared" si="3"/>
        <v>0.3719233795238876</v>
      </c>
      <c r="J17" s="6">
        <f t="shared" si="4"/>
        <v>7.9479491617924891</v>
      </c>
      <c r="K17" s="6">
        <f t="shared" si="5"/>
        <v>21.369856264392258</v>
      </c>
      <c r="L17" s="6">
        <f t="shared" si="6"/>
        <v>9.8385755846179812</v>
      </c>
      <c r="M17" s="6">
        <f t="shared" si="7"/>
        <v>1.6282356812115175</v>
      </c>
      <c r="N17" s="6">
        <f t="shared" si="8"/>
        <v>-0.25279374390413994</v>
      </c>
    </row>
    <row r="18" spans="1:14" ht="15.6">
      <c r="A18" s="1">
        <v>3000</v>
      </c>
      <c r="B18" s="8">
        <v>-25</v>
      </c>
      <c r="C18" s="9">
        <v>55</v>
      </c>
      <c r="D18" s="3">
        <v>85.111416100694257</v>
      </c>
      <c r="E18" s="2">
        <v>132.81900053146808</v>
      </c>
      <c r="F18" s="6">
        <f t="shared" si="0"/>
        <v>0.69444444444444442</v>
      </c>
      <c r="G18" s="16">
        <f t="shared" si="1"/>
        <v>0</v>
      </c>
      <c r="H18" s="6">
        <f t="shared" si="2"/>
        <v>10</v>
      </c>
      <c r="I18" s="6">
        <f t="shared" si="3"/>
        <v>0.59357850212742569</v>
      </c>
      <c r="J18" s="6">
        <f t="shared" si="4"/>
        <v>7.9479491617924891</v>
      </c>
      <c r="K18" s="6">
        <f t="shared" si="5"/>
        <v>13.389887156132675</v>
      </c>
      <c r="L18" s="6">
        <f t="shared" si="6"/>
        <v>1.858606476358398</v>
      </c>
      <c r="M18" s="6">
        <f t="shared" si="7"/>
        <v>1.6282356812115175</v>
      </c>
      <c r="N18" s="6">
        <f t="shared" si="8"/>
        <v>-3.1138621300601854E-2</v>
      </c>
    </row>
    <row r="19" spans="1:14" ht="15.6">
      <c r="A19" s="1">
        <v>3000</v>
      </c>
      <c r="B19" s="8">
        <v>-15</v>
      </c>
      <c r="C19" s="9">
        <v>55</v>
      </c>
      <c r="D19" s="3">
        <v>106.79301124299701</v>
      </c>
      <c r="E19" s="2">
        <v>203.66272804157356</v>
      </c>
      <c r="F19" s="6">
        <f t="shared" si="0"/>
        <v>0.69444444444444442</v>
      </c>
      <c r="G19" s="16">
        <f t="shared" si="1"/>
        <v>10</v>
      </c>
      <c r="H19" s="6">
        <f t="shared" si="2"/>
        <v>10</v>
      </c>
      <c r="I19" s="6">
        <f t="shared" si="3"/>
        <v>0.90864948863276984</v>
      </c>
      <c r="J19" s="6">
        <f t="shared" si="4"/>
        <v>7.9479491617924891</v>
      </c>
      <c r="K19" s="6">
        <f t="shared" si="5"/>
        <v>8.7469912889640646</v>
      </c>
      <c r="L19" s="6">
        <f t="shared" si="6"/>
        <v>-2.784289390810212</v>
      </c>
      <c r="M19" s="6">
        <f t="shared" si="7"/>
        <v>1.6282356812115175</v>
      </c>
      <c r="N19" s="6">
        <f t="shared" si="8"/>
        <v>0.2839323652047423</v>
      </c>
    </row>
    <row r="20" spans="1:14" ht="15.6">
      <c r="A20" s="1">
        <v>1620</v>
      </c>
      <c r="B20" s="8">
        <v>-35</v>
      </c>
      <c r="C20" s="9">
        <v>35</v>
      </c>
      <c r="D20" s="3">
        <v>28.399470188982054</v>
      </c>
      <c r="E20" s="2">
        <v>61.981144996439937</v>
      </c>
      <c r="F20" s="6">
        <f t="shared" si="0"/>
        <v>0.375</v>
      </c>
      <c r="G20" s="16">
        <f t="shared" si="1"/>
        <v>-10</v>
      </c>
      <c r="H20" s="6">
        <f t="shared" si="2"/>
        <v>-10</v>
      </c>
      <c r="I20" s="6">
        <f t="shared" si="3"/>
        <v>0.3719233795238876</v>
      </c>
      <c r="J20" s="6">
        <f t="shared" si="4"/>
        <v>4.7878318380820248</v>
      </c>
      <c r="K20" s="6">
        <f t="shared" si="5"/>
        <v>12.873167167417922</v>
      </c>
      <c r="L20" s="6">
        <f t="shared" si="6"/>
        <v>1.3418864876436452</v>
      </c>
      <c r="M20" s="6">
        <f t="shared" si="7"/>
        <v>-1.5318816424989468</v>
      </c>
      <c r="N20" s="6">
        <f t="shared" si="8"/>
        <v>-0.25279374390413994</v>
      </c>
    </row>
    <row r="21" spans="1:14" ht="15.6">
      <c r="A21" s="1">
        <v>1620</v>
      </c>
      <c r="B21" s="8">
        <v>-25</v>
      </c>
      <c r="C21" s="9">
        <v>35</v>
      </c>
      <c r="D21" s="3">
        <v>36.29018938443533</v>
      </c>
      <c r="E21" s="2">
        <v>87.768064018720324</v>
      </c>
      <c r="F21" s="6">
        <f t="shared" si="0"/>
        <v>0.375</v>
      </c>
      <c r="G21" s="16">
        <f t="shared" si="1"/>
        <v>0</v>
      </c>
      <c r="H21" s="6">
        <f t="shared" si="2"/>
        <v>-10</v>
      </c>
      <c r="I21" s="6">
        <f t="shared" si="3"/>
        <v>0.59357850212742569</v>
      </c>
      <c r="J21" s="6">
        <f t="shared" si="4"/>
        <v>4.7878318380820248</v>
      </c>
      <c r="K21" s="6">
        <f t="shared" si="5"/>
        <v>8.0660465648976682</v>
      </c>
      <c r="L21" s="6">
        <f t="shared" si="6"/>
        <v>-3.4652341148766084</v>
      </c>
      <c r="M21" s="6">
        <f t="shared" si="7"/>
        <v>-1.5318816424989468</v>
      </c>
      <c r="N21" s="6">
        <f t="shared" si="8"/>
        <v>-3.1138621300601854E-2</v>
      </c>
    </row>
    <row r="22" spans="1:14" ht="15.6">
      <c r="A22" s="1">
        <v>1620</v>
      </c>
      <c r="B22" s="8">
        <v>-15</v>
      </c>
      <c r="C22" s="9">
        <v>35</v>
      </c>
      <c r="D22" s="3">
        <v>42.882346469045537</v>
      </c>
      <c r="E22" s="2">
        <v>125.54212231025623</v>
      </c>
      <c r="F22" s="6">
        <f t="shared" si="0"/>
        <v>0.375</v>
      </c>
      <c r="G22" s="16">
        <f t="shared" si="1"/>
        <v>10</v>
      </c>
      <c r="H22" s="6">
        <f t="shared" si="2"/>
        <v>-10</v>
      </c>
      <c r="I22" s="6">
        <f t="shared" si="3"/>
        <v>0.90864948863276984</v>
      </c>
      <c r="J22" s="6">
        <f t="shared" si="4"/>
        <v>4.7878318380820248</v>
      </c>
      <c r="K22" s="6">
        <f t="shared" si="5"/>
        <v>5.2691735349856383</v>
      </c>
      <c r="L22" s="6">
        <f t="shared" si="6"/>
        <v>-6.2621071447886383</v>
      </c>
      <c r="M22" s="6">
        <f t="shared" si="7"/>
        <v>-1.5318816424989468</v>
      </c>
      <c r="N22" s="6">
        <f t="shared" si="8"/>
        <v>0.2839323652047423</v>
      </c>
    </row>
    <row r="23" spans="1:14" ht="15.6">
      <c r="A23" s="1">
        <v>1620</v>
      </c>
      <c r="B23" s="8">
        <v>-35</v>
      </c>
      <c r="C23" s="9">
        <v>45</v>
      </c>
      <c r="D23" s="3">
        <v>31.236331176704478</v>
      </c>
      <c r="E23" s="2">
        <v>53.376474725048595</v>
      </c>
      <c r="F23" s="6">
        <f t="shared" si="0"/>
        <v>0.375</v>
      </c>
      <c r="G23" s="16">
        <f t="shared" si="1"/>
        <v>-10</v>
      </c>
      <c r="H23" s="6">
        <f t="shared" si="2"/>
        <v>0</v>
      </c>
      <c r="I23" s="6">
        <f t="shared" si="3"/>
        <v>0.3719233795238876</v>
      </c>
      <c r="J23" s="6">
        <f t="shared" si="4"/>
        <v>6.2233594418684053</v>
      </c>
      <c r="K23" s="6">
        <f t="shared" si="5"/>
        <v>16.732907325791537</v>
      </c>
      <c r="L23" s="6">
        <f t="shared" si="6"/>
        <v>5.2016266460172602</v>
      </c>
      <c r="M23" s="6">
        <f t="shared" si="7"/>
        <v>-9.6354038712566314E-2</v>
      </c>
      <c r="N23" s="6">
        <f t="shared" si="8"/>
        <v>-0.25279374390413994</v>
      </c>
    </row>
    <row r="24" spans="1:14" ht="15.6">
      <c r="A24" s="1">
        <v>1620</v>
      </c>
      <c r="B24" s="8">
        <v>-25</v>
      </c>
      <c r="C24" s="9">
        <v>45</v>
      </c>
      <c r="D24" s="3">
        <v>41.0428551937379</v>
      </c>
      <c r="E24" s="2">
        <v>79.15867684829162</v>
      </c>
      <c r="F24" s="6">
        <f t="shared" si="0"/>
        <v>0.375</v>
      </c>
      <c r="G24" s="16">
        <f t="shared" si="1"/>
        <v>0</v>
      </c>
      <c r="H24" s="6">
        <f t="shared" si="2"/>
        <v>0</v>
      </c>
      <c r="I24" s="6">
        <f t="shared" si="3"/>
        <v>0.59357850212742569</v>
      </c>
      <c r="J24" s="6">
        <f t="shared" si="4"/>
        <v>6.2233594418684053</v>
      </c>
      <c r="K24" s="6">
        <f t="shared" si="5"/>
        <v>10.484475801538402</v>
      </c>
      <c r="L24" s="6">
        <f t="shared" si="6"/>
        <v>-1.046804878235875</v>
      </c>
      <c r="M24" s="6">
        <f t="shared" si="7"/>
        <v>-9.6354038712566314E-2</v>
      </c>
      <c r="N24" s="6">
        <f t="shared" si="8"/>
        <v>-3.1138621300601854E-2</v>
      </c>
    </row>
    <row r="25" spans="1:14" ht="15.6">
      <c r="A25" s="1">
        <v>1620</v>
      </c>
      <c r="B25" s="8">
        <v>-15</v>
      </c>
      <c r="C25" s="9">
        <v>45</v>
      </c>
      <c r="D25" s="3">
        <v>50.204236028071115</v>
      </c>
      <c r="E25" s="2">
        <v>116.92462291216799</v>
      </c>
      <c r="F25" s="6">
        <f t="shared" si="0"/>
        <v>0.375</v>
      </c>
      <c r="G25" s="16">
        <f t="shared" si="1"/>
        <v>10</v>
      </c>
      <c r="H25" s="6">
        <f t="shared" si="2"/>
        <v>0</v>
      </c>
      <c r="I25" s="6">
        <f t="shared" si="3"/>
        <v>0.90864948863276984</v>
      </c>
      <c r="J25" s="6">
        <f t="shared" si="4"/>
        <v>6.2233594418684053</v>
      </c>
      <c r="K25" s="6">
        <f t="shared" si="5"/>
        <v>6.8490210138483576</v>
      </c>
      <c r="L25" s="6">
        <f t="shared" si="6"/>
        <v>-4.682259665925919</v>
      </c>
      <c r="M25" s="6">
        <f t="shared" si="7"/>
        <v>-9.6354038712566314E-2</v>
      </c>
      <c r="N25" s="6">
        <f t="shared" si="8"/>
        <v>0.2839323652047423</v>
      </c>
    </row>
    <row r="26" spans="1:14" ht="15.6">
      <c r="A26" s="1">
        <v>1620</v>
      </c>
      <c r="B26" s="8">
        <v>-35</v>
      </c>
      <c r="C26" s="9">
        <v>55</v>
      </c>
      <c r="D26" s="3">
        <v>33.812192304106354</v>
      </c>
      <c r="E26" s="2">
        <v>44.768080940761337</v>
      </c>
      <c r="F26" s="6">
        <f t="shared" si="0"/>
        <v>0.375</v>
      </c>
      <c r="G26" s="16">
        <f t="shared" si="1"/>
        <v>-10</v>
      </c>
      <c r="H26" s="6">
        <f t="shared" si="2"/>
        <v>10</v>
      </c>
      <c r="I26" s="6">
        <f t="shared" si="3"/>
        <v>0.3719233795238876</v>
      </c>
      <c r="J26" s="6">
        <f t="shared" si="4"/>
        <v>7.9479491617924891</v>
      </c>
      <c r="K26" s="6">
        <f t="shared" si="5"/>
        <v>21.369856264392258</v>
      </c>
      <c r="L26" s="6">
        <f t="shared" si="6"/>
        <v>9.8385755846179812</v>
      </c>
      <c r="M26" s="6">
        <f t="shared" si="7"/>
        <v>1.6282356812115175</v>
      </c>
      <c r="N26" s="6">
        <f t="shared" si="8"/>
        <v>-0.25279374390413994</v>
      </c>
    </row>
    <row r="27" spans="1:14" ht="15.6">
      <c r="A27" s="1">
        <v>1620</v>
      </c>
      <c r="B27" s="8">
        <v>-25</v>
      </c>
      <c r="C27" s="9">
        <v>55</v>
      </c>
      <c r="D27" s="3">
        <v>45.358778640489753</v>
      </c>
      <c r="E27" s="2">
        <v>70.542772738327301</v>
      </c>
      <c r="F27" s="6">
        <f t="shared" si="0"/>
        <v>0.375</v>
      </c>
      <c r="G27" s="16">
        <f t="shared" si="1"/>
        <v>0</v>
      </c>
      <c r="H27" s="6">
        <f t="shared" si="2"/>
        <v>10</v>
      </c>
      <c r="I27" s="6">
        <f t="shared" si="3"/>
        <v>0.59357850212742569</v>
      </c>
      <c r="J27" s="6">
        <f t="shared" si="4"/>
        <v>7.9479491617924891</v>
      </c>
      <c r="K27" s="6">
        <f t="shared" si="5"/>
        <v>13.389887156132675</v>
      </c>
      <c r="L27" s="6">
        <f t="shared" si="6"/>
        <v>1.858606476358398</v>
      </c>
      <c r="M27" s="6">
        <f t="shared" si="7"/>
        <v>1.6282356812115175</v>
      </c>
      <c r="N27" s="6">
        <f t="shared" si="8"/>
        <v>-3.1138621300601854E-2</v>
      </c>
    </row>
    <row r="28" spans="1:14" ht="15.6">
      <c r="A28" s="1">
        <v>1620</v>
      </c>
      <c r="B28" s="8">
        <v>-15</v>
      </c>
      <c r="C28" s="9">
        <v>55</v>
      </c>
      <c r="D28" s="3">
        <v>56.913640722315776</v>
      </c>
      <c r="E28" s="2">
        <v>108.29781314790446</v>
      </c>
      <c r="F28" s="6">
        <f t="shared" si="0"/>
        <v>0.375</v>
      </c>
      <c r="G28" s="16">
        <f t="shared" si="1"/>
        <v>10</v>
      </c>
      <c r="H28" s="6">
        <f t="shared" si="2"/>
        <v>10</v>
      </c>
      <c r="I28" s="6">
        <f t="shared" si="3"/>
        <v>0.90864948863276984</v>
      </c>
      <c r="J28" s="6">
        <f t="shared" si="4"/>
        <v>7.9479491617924891</v>
      </c>
      <c r="K28" s="6">
        <f t="shared" si="5"/>
        <v>8.7469912889640646</v>
      </c>
      <c r="L28" s="6">
        <f t="shared" si="6"/>
        <v>-2.784289390810212</v>
      </c>
      <c r="M28" s="6">
        <f t="shared" si="7"/>
        <v>1.6282356812115175</v>
      </c>
      <c r="N28" s="6">
        <f t="shared" si="8"/>
        <v>0.2839323652047423</v>
      </c>
    </row>
    <row r="29" spans="1:14" ht="15.6">
      <c r="A29" s="1">
        <v>1320</v>
      </c>
      <c r="B29" s="8">
        <v>-35</v>
      </c>
      <c r="C29" s="9">
        <v>35</v>
      </c>
      <c r="D29" s="3">
        <v>22.974852287715816</v>
      </c>
      <c r="E29" s="2">
        <v>53.328881345434553</v>
      </c>
      <c r="F29" s="6">
        <f t="shared" si="0"/>
        <v>0.30555555555555558</v>
      </c>
      <c r="G29" s="16">
        <f t="shared" si="1"/>
        <v>-10</v>
      </c>
      <c r="H29" s="6">
        <f t="shared" si="2"/>
        <v>-10</v>
      </c>
      <c r="I29" s="6">
        <f t="shared" si="3"/>
        <v>0.3719233795238876</v>
      </c>
      <c r="J29" s="6">
        <f t="shared" si="4"/>
        <v>4.7878318380820248</v>
      </c>
      <c r="K29" s="6">
        <f t="shared" si="5"/>
        <v>12.873167167417922</v>
      </c>
      <c r="L29" s="6">
        <f t="shared" si="6"/>
        <v>1.3418864876436452</v>
      </c>
      <c r="M29" s="6">
        <f t="shared" si="7"/>
        <v>-1.5318816424989468</v>
      </c>
      <c r="N29" s="6">
        <f t="shared" si="8"/>
        <v>-0.25279374390413994</v>
      </c>
    </row>
    <row r="30" spans="1:14" ht="15.6">
      <c r="A30" s="1">
        <v>1320</v>
      </c>
      <c r="B30" s="8">
        <v>-25</v>
      </c>
      <c r="C30" s="9">
        <v>35</v>
      </c>
      <c r="D30" s="3">
        <v>29.358355457071273</v>
      </c>
      <c r="E30" s="2">
        <v>74.190209093796227</v>
      </c>
      <c r="F30" s="6">
        <f t="shared" si="0"/>
        <v>0.30555555555555558</v>
      </c>
      <c r="G30" s="16">
        <f t="shared" si="1"/>
        <v>0</v>
      </c>
      <c r="H30" s="6">
        <f t="shared" si="2"/>
        <v>-10</v>
      </c>
      <c r="I30" s="6">
        <f t="shared" si="3"/>
        <v>0.59357850212742569</v>
      </c>
      <c r="J30" s="6">
        <f t="shared" si="4"/>
        <v>4.7878318380820248</v>
      </c>
      <c r="K30" s="6">
        <f t="shared" si="5"/>
        <v>8.0660465648976682</v>
      </c>
      <c r="L30" s="6">
        <f t="shared" si="6"/>
        <v>-3.4652341148766084</v>
      </c>
      <c r="M30" s="6">
        <f t="shared" si="7"/>
        <v>-1.5318816424989468</v>
      </c>
      <c r="N30" s="6">
        <f t="shared" si="8"/>
        <v>-3.1138621300601854E-2</v>
      </c>
    </row>
    <row r="31" spans="1:14" ht="15.6">
      <c r="A31" s="1">
        <v>1320</v>
      </c>
      <c r="B31" s="8">
        <v>-15</v>
      </c>
      <c r="C31" s="9">
        <v>35</v>
      </c>
      <c r="D31" s="3">
        <v>34.6913364693402</v>
      </c>
      <c r="E31" s="2">
        <v>104.74899782402751</v>
      </c>
      <c r="F31" s="6">
        <f t="shared" si="0"/>
        <v>0.30555555555555558</v>
      </c>
      <c r="G31" s="16">
        <f t="shared" si="1"/>
        <v>10</v>
      </c>
      <c r="H31" s="6">
        <f t="shared" si="2"/>
        <v>-10</v>
      </c>
      <c r="I31" s="6">
        <f t="shared" si="3"/>
        <v>0.90864948863276984</v>
      </c>
      <c r="J31" s="6">
        <f t="shared" si="4"/>
        <v>4.7878318380820248</v>
      </c>
      <c r="K31" s="6">
        <f t="shared" si="5"/>
        <v>5.2691735349856383</v>
      </c>
      <c r="L31" s="6">
        <f t="shared" si="6"/>
        <v>-6.2621071447886383</v>
      </c>
      <c r="M31" s="6">
        <f t="shared" si="7"/>
        <v>-1.5318816424989468</v>
      </c>
      <c r="N31" s="6">
        <f t="shared" si="8"/>
        <v>0.2839323652047423</v>
      </c>
    </row>
    <row r="32" spans="1:14" ht="15.6">
      <c r="A32" s="1">
        <v>1320</v>
      </c>
      <c r="B32" s="8">
        <v>-35</v>
      </c>
      <c r="C32" s="9">
        <v>45</v>
      </c>
      <c r="D32" s="3">
        <v>25.269840951940697</v>
      </c>
      <c r="E32" s="2">
        <v>44.725103148353924</v>
      </c>
      <c r="F32" s="6">
        <f t="shared" si="0"/>
        <v>0.30555555555555558</v>
      </c>
      <c r="G32" s="16">
        <f t="shared" si="1"/>
        <v>-10</v>
      </c>
      <c r="H32" s="6">
        <f t="shared" si="2"/>
        <v>0</v>
      </c>
      <c r="I32" s="6">
        <f t="shared" si="3"/>
        <v>0.3719233795238876</v>
      </c>
      <c r="J32" s="6">
        <f t="shared" si="4"/>
        <v>6.2233594418684053</v>
      </c>
      <c r="K32" s="6">
        <f t="shared" si="5"/>
        <v>16.732907325791537</v>
      </c>
      <c r="L32" s="6">
        <f t="shared" si="6"/>
        <v>5.2016266460172602</v>
      </c>
      <c r="M32" s="6">
        <f t="shared" si="7"/>
        <v>-9.6354038712566314E-2</v>
      </c>
      <c r="N32" s="6">
        <f t="shared" si="8"/>
        <v>-0.25279374390413994</v>
      </c>
    </row>
    <row r="33" spans="1:14" ht="15.6">
      <c r="A33" s="1">
        <v>1320</v>
      </c>
      <c r="B33" s="8">
        <v>-25</v>
      </c>
      <c r="C33" s="9">
        <v>45</v>
      </c>
      <c r="D33" s="3">
        <v>33.203208696057622</v>
      </c>
      <c r="E33" s="2">
        <v>65.582614978393224</v>
      </c>
      <c r="F33" s="6">
        <f t="shared" si="0"/>
        <v>0.30555555555555558</v>
      </c>
      <c r="G33" s="16">
        <f t="shared" si="1"/>
        <v>0</v>
      </c>
      <c r="H33" s="6">
        <f t="shared" si="2"/>
        <v>0</v>
      </c>
      <c r="I33" s="6">
        <f t="shared" si="3"/>
        <v>0.59357850212742569</v>
      </c>
      <c r="J33" s="6">
        <f t="shared" si="4"/>
        <v>6.2233594418684053</v>
      </c>
      <c r="K33" s="6">
        <f t="shared" si="5"/>
        <v>10.484475801538402</v>
      </c>
      <c r="L33" s="6">
        <f t="shared" si="6"/>
        <v>-1.046804878235875</v>
      </c>
      <c r="M33" s="6">
        <f t="shared" si="7"/>
        <v>-9.6354038712566314E-2</v>
      </c>
      <c r="N33" s="6">
        <f t="shared" si="8"/>
        <v>-3.1138621300601854E-2</v>
      </c>
    </row>
    <row r="34" spans="1:14" ht="15.6">
      <c r="A34" s="1">
        <v>1320</v>
      </c>
      <c r="B34" s="8">
        <v>-15</v>
      </c>
      <c r="C34" s="9">
        <v>45</v>
      </c>
      <c r="D34" s="3">
        <v>40.614662854169886</v>
      </c>
      <c r="E34" s="2">
        <v>96.134841007596592</v>
      </c>
      <c r="F34" s="6">
        <f t="shared" si="0"/>
        <v>0.30555555555555558</v>
      </c>
      <c r="G34" s="16">
        <f t="shared" si="1"/>
        <v>10</v>
      </c>
      <c r="H34" s="6">
        <f t="shared" si="2"/>
        <v>0</v>
      </c>
      <c r="I34" s="6">
        <f t="shared" si="3"/>
        <v>0.90864948863276984</v>
      </c>
      <c r="J34" s="6">
        <f t="shared" si="4"/>
        <v>6.2233594418684053</v>
      </c>
      <c r="K34" s="6">
        <f t="shared" si="5"/>
        <v>6.8490210138483576</v>
      </c>
      <c r="L34" s="6">
        <f t="shared" si="6"/>
        <v>-4.682259665925919</v>
      </c>
      <c r="M34" s="6">
        <f t="shared" si="7"/>
        <v>-9.6354038712566314E-2</v>
      </c>
      <c r="N34" s="6">
        <f t="shared" si="8"/>
        <v>0.2839323652047423</v>
      </c>
    </row>
    <row r="35" spans="1:14" ht="15.6">
      <c r="A35" s="1">
        <v>1320</v>
      </c>
      <c r="B35" s="8">
        <v>-35</v>
      </c>
      <c r="C35" s="9">
        <v>55</v>
      </c>
      <c r="D35" s="3">
        <v>27.353683661748953</v>
      </c>
      <c r="E35" s="2">
        <v>36.118312671177719</v>
      </c>
      <c r="F35" s="6">
        <f t="shared" si="0"/>
        <v>0.30555555555555558</v>
      </c>
      <c r="G35" s="16">
        <f t="shared" si="1"/>
        <v>-10</v>
      </c>
      <c r="H35" s="6">
        <f t="shared" si="2"/>
        <v>10</v>
      </c>
      <c r="I35" s="6">
        <f t="shared" si="3"/>
        <v>0.3719233795238876</v>
      </c>
      <c r="J35" s="6">
        <f t="shared" si="4"/>
        <v>7.9479491617924891</v>
      </c>
      <c r="K35" s="6">
        <f t="shared" si="5"/>
        <v>21.369856264392258</v>
      </c>
      <c r="L35" s="6">
        <f t="shared" si="6"/>
        <v>9.8385755846179812</v>
      </c>
      <c r="M35" s="6">
        <f t="shared" si="7"/>
        <v>1.6282356812115175</v>
      </c>
      <c r="N35" s="6">
        <f t="shared" si="8"/>
        <v>-0.25279374390413994</v>
      </c>
    </row>
    <row r="36" spans="1:14" ht="15.6">
      <c r="A36" s="1">
        <v>1320</v>
      </c>
      <c r="B36" s="8">
        <v>-25</v>
      </c>
      <c r="C36" s="9">
        <v>55</v>
      </c>
      <c r="D36" s="3">
        <v>36.694742270957995</v>
      </c>
      <c r="E36" s="2">
        <v>56.969748732129958</v>
      </c>
      <c r="F36" s="6">
        <f t="shared" si="0"/>
        <v>0.30555555555555558</v>
      </c>
      <c r="G36" s="16">
        <f t="shared" si="1"/>
        <v>0</v>
      </c>
      <c r="H36" s="6">
        <f t="shared" si="2"/>
        <v>10</v>
      </c>
      <c r="I36" s="6">
        <f t="shared" si="3"/>
        <v>0.59357850212742569</v>
      </c>
      <c r="J36" s="6">
        <f t="shared" si="4"/>
        <v>7.9479491617924891</v>
      </c>
      <c r="K36" s="6">
        <f t="shared" si="5"/>
        <v>13.389887156132675</v>
      </c>
      <c r="L36" s="6">
        <f t="shared" si="6"/>
        <v>1.858606476358398</v>
      </c>
      <c r="M36" s="6">
        <f t="shared" si="7"/>
        <v>1.6282356812115175</v>
      </c>
      <c r="N36" s="6">
        <f t="shared" si="8"/>
        <v>-3.1138621300601854E-2</v>
      </c>
    </row>
    <row r="37" spans="1:14" ht="15.6">
      <c r="A37" s="1">
        <v>1320</v>
      </c>
      <c r="B37" s="8">
        <v>-15</v>
      </c>
      <c r="C37" s="9">
        <v>55</v>
      </c>
      <c r="D37" s="3">
        <v>46.042495865244213</v>
      </c>
      <c r="E37" s="2">
        <v>87.513152209540692</v>
      </c>
      <c r="F37" s="6">
        <f t="shared" si="0"/>
        <v>0.30555555555555558</v>
      </c>
      <c r="G37" s="16">
        <f t="shared" si="1"/>
        <v>10</v>
      </c>
      <c r="H37" s="6">
        <f t="shared" si="2"/>
        <v>10</v>
      </c>
      <c r="I37" s="6">
        <f t="shared" si="3"/>
        <v>0.90864948863276984</v>
      </c>
      <c r="J37" s="6">
        <f t="shared" si="4"/>
        <v>7.9479491617924891</v>
      </c>
      <c r="K37" s="6">
        <f t="shared" si="5"/>
        <v>8.7469912889640646</v>
      </c>
      <c r="L37" s="6">
        <f t="shared" si="6"/>
        <v>-2.784289390810212</v>
      </c>
      <c r="M37" s="6">
        <f t="shared" si="7"/>
        <v>1.6282356812115175</v>
      </c>
      <c r="N37" s="6">
        <f t="shared" si="8"/>
        <v>0.2839323652047423</v>
      </c>
    </row>
    <row r="38" spans="1:14" ht="14.4">
      <c r="A38" s="5"/>
    </row>
    <row r="39" spans="1:14" ht="14.4">
      <c r="A39" s="4"/>
    </row>
    <row r="40" spans="1:14" ht="14.4">
      <c r="A40" s="4"/>
    </row>
    <row r="41" spans="1:14" ht="14.4">
      <c r="A41" s="4"/>
    </row>
    <row r="42" spans="1:14" ht="14.4">
      <c r="A42" s="4"/>
    </row>
  </sheetData>
  <conditionalFormatting sqref="D2:E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"/>
  <sheetViews>
    <sheetView topLeftCell="A27" workbookViewId="0">
      <selection activeCell="H35" sqref="H35"/>
    </sheetView>
    <sheetView workbookViewId="1"/>
  </sheetViews>
  <sheetFormatPr defaultRowHeight="13.2"/>
  <sheetData/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11</vt:i4>
      </vt:variant>
    </vt:vector>
  </HeadingPairs>
  <TitlesOfParts>
    <vt:vector size="13" baseType="lpstr">
      <vt:lpstr>Sheet6</vt:lpstr>
      <vt:lpstr>Sheet1</vt:lpstr>
      <vt:lpstr>Volumetric efficiency</vt:lpstr>
      <vt:lpstr>Chart2</vt:lpstr>
      <vt:lpstr>Chart1</vt:lpstr>
      <vt:lpstr>Cooling capacity</vt:lpstr>
      <vt:lpstr>Input</vt:lpstr>
      <vt:lpstr>入力Ｗ</vt:lpstr>
      <vt:lpstr>冷凍能力</vt:lpstr>
      <vt:lpstr>COP</vt:lpstr>
      <vt:lpstr>冷蔵庫条件冷凍能力</vt:lpstr>
      <vt:lpstr>冷蔵庫条件COP</vt:lpstr>
      <vt:lpstr>冷蔵庫条件ＣＯＰ　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シャープ(株)</dc:creator>
  <cp:lastModifiedBy>Office</cp:lastModifiedBy>
  <cp:lastPrinted>2010-03-09T11:32:41Z</cp:lastPrinted>
  <dcterms:created xsi:type="dcterms:W3CDTF">1997-11-22T08:36:05Z</dcterms:created>
  <dcterms:modified xsi:type="dcterms:W3CDTF">2026-07-14T10:31:44Z</dcterms:modified>
</cp:coreProperties>
</file>