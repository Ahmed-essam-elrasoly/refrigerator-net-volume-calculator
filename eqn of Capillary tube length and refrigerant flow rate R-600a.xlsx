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codeName="ThisWorkbook" defaultThemeVersion="124226"/>
  <xr:revisionPtr revIDLastSave="0" documentId="8_{15948949-2538-48C5-B022-9FCC8AC10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8" i="1" l="1"/>
  <c r="AC108" i="1"/>
  <c r="AB108" i="1"/>
  <c r="AD107" i="1"/>
  <c r="AC107" i="1"/>
  <c r="AB107" i="1"/>
  <c r="AD106" i="1"/>
  <c r="AC106" i="1"/>
  <c r="AB106" i="1"/>
  <c r="AD105" i="1"/>
  <c r="AC105" i="1"/>
  <c r="AB105" i="1"/>
  <c r="AD104" i="1"/>
  <c r="AC104" i="1"/>
  <c r="AB104" i="1"/>
  <c r="AD103" i="1"/>
  <c r="AC103" i="1"/>
  <c r="AB103" i="1"/>
  <c r="AD102" i="1"/>
  <c r="AC102" i="1"/>
  <c r="AB102" i="1"/>
  <c r="AD101" i="1"/>
  <c r="AC101" i="1"/>
  <c r="AB101" i="1"/>
  <c r="AD100" i="1"/>
  <c r="AC100" i="1"/>
  <c r="AB100" i="1"/>
  <c r="AD99" i="1"/>
  <c r="AC99" i="1"/>
  <c r="AB99" i="1"/>
  <c r="AB78" i="1"/>
  <c r="AC78" i="1"/>
  <c r="AD78" i="1"/>
  <c r="AB79" i="1"/>
  <c r="AC79" i="1"/>
  <c r="AD79" i="1"/>
  <c r="AD77" i="1"/>
  <c r="AC77" i="1"/>
  <c r="AB77" i="1"/>
  <c r="AD76" i="1"/>
  <c r="AC76" i="1"/>
  <c r="AB76" i="1"/>
  <c r="AD75" i="1"/>
  <c r="AC75" i="1"/>
  <c r="AB75" i="1"/>
  <c r="AD74" i="1"/>
  <c r="AC74" i="1"/>
  <c r="AB74" i="1"/>
  <c r="AD73" i="1"/>
  <c r="AC73" i="1"/>
  <c r="AB73" i="1"/>
  <c r="AD72" i="1"/>
  <c r="AC72" i="1"/>
  <c r="AB72" i="1"/>
  <c r="AD71" i="1"/>
  <c r="AC71" i="1"/>
  <c r="AB71" i="1"/>
  <c r="AD70" i="1"/>
  <c r="AC70" i="1"/>
  <c r="AB70" i="1"/>
  <c r="AD69" i="1"/>
  <c r="AC69" i="1"/>
  <c r="AB69" i="1"/>
  <c r="AB45" i="1"/>
  <c r="AC45" i="1"/>
  <c r="AD45" i="1"/>
  <c r="AB46" i="1"/>
  <c r="AC46" i="1"/>
  <c r="AD46" i="1"/>
  <c r="AD44" i="1"/>
  <c r="AC44" i="1"/>
  <c r="AB44" i="1"/>
  <c r="AD43" i="1"/>
  <c r="AC43" i="1"/>
  <c r="AB43" i="1"/>
  <c r="AD42" i="1"/>
  <c r="AC42" i="1"/>
  <c r="AB42" i="1"/>
  <c r="AD41" i="1"/>
  <c r="AC41" i="1"/>
  <c r="AB41" i="1"/>
  <c r="AD40" i="1"/>
  <c r="AC40" i="1"/>
  <c r="AB40" i="1"/>
  <c r="AD39" i="1"/>
  <c r="AC39" i="1"/>
  <c r="AB39" i="1"/>
  <c r="AD38" i="1"/>
  <c r="AC38" i="1"/>
  <c r="AB38" i="1"/>
  <c r="AB10" i="1"/>
  <c r="AC10" i="1"/>
  <c r="AD10" i="1"/>
  <c r="AB11" i="1"/>
  <c r="AC11" i="1"/>
  <c r="AD11" i="1"/>
  <c r="AB12" i="1"/>
  <c r="AC12" i="1"/>
  <c r="AD12" i="1"/>
  <c r="AB13" i="1"/>
  <c r="AC13" i="1"/>
  <c r="AD13" i="1"/>
  <c r="AB14" i="1"/>
  <c r="AC14" i="1"/>
  <c r="AD14" i="1"/>
  <c r="AB15" i="1"/>
  <c r="AC15" i="1"/>
  <c r="AD15" i="1"/>
  <c r="AC9" i="1"/>
  <c r="AD9" i="1"/>
  <c r="AB9" i="1"/>
  <c r="AA7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Y104" i="1" s="1"/>
  <c r="Q105" i="1"/>
  <c r="R105" i="1"/>
  <c r="S105" i="1"/>
  <c r="Y105" i="1" s="1"/>
  <c r="Q106" i="1"/>
  <c r="R106" i="1"/>
  <c r="S106" i="1"/>
  <c r="Y106" i="1" s="1"/>
  <c r="Q107" i="1"/>
  <c r="W107" i="1" s="1"/>
  <c r="R107" i="1"/>
  <c r="X107" i="1" s="1"/>
  <c r="S107" i="1"/>
  <c r="Y107" i="1" s="1"/>
  <c r="Q108" i="1"/>
  <c r="W108" i="1" s="1"/>
  <c r="R108" i="1"/>
  <c r="X108" i="1" s="1"/>
  <c r="S108" i="1"/>
  <c r="Y108" i="1" s="1"/>
  <c r="R99" i="1"/>
  <c r="X99" i="1" s="1"/>
  <c r="S99" i="1"/>
  <c r="Y99" i="1" s="1"/>
  <c r="Q99" i="1"/>
  <c r="W99" i="1" s="1"/>
  <c r="Q70" i="1"/>
  <c r="W70" i="1" s="1"/>
  <c r="R70" i="1"/>
  <c r="X70" i="1" s="1"/>
  <c r="S70" i="1"/>
  <c r="Y70" i="1" s="1"/>
  <c r="Q71" i="1"/>
  <c r="W71" i="1" s="1"/>
  <c r="R71" i="1"/>
  <c r="X71" i="1" s="1"/>
  <c r="S71" i="1"/>
  <c r="Y71" i="1" s="1"/>
  <c r="Q72" i="1"/>
  <c r="W72" i="1" s="1"/>
  <c r="R72" i="1"/>
  <c r="X72" i="1" s="1"/>
  <c r="S72" i="1"/>
  <c r="Y72" i="1" s="1"/>
  <c r="Q73" i="1"/>
  <c r="W73" i="1" s="1"/>
  <c r="R73" i="1"/>
  <c r="X73" i="1" s="1"/>
  <c r="S73" i="1"/>
  <c r="Y73" i="1" s="1"/>
  <c r="Q74" i="1"/>
  <c r="W74" i="1" s="1"/>
  <c r="R74" i="1"/>
  <c r="X74" i="1" s="1"/>
  <c r="S74" i="1"/>
  <c r="Y74" i="1" s="1"/>
  <c r="Q75" i="1"/>
  <c r="W75" i="1" s="1"/>
  <c r="R75" i="1"/>
  <c r="X75" i="1" s="1"/>
  <c r="S75" i="1"/>
  <c r="Y75" i="1" s="1"/>
  <c r="Q76" i="1"/>
  <c r="W76" i="1" s="1"/>
  <c r="R76" i="1"/>
  <c r="X76" i="1" s="1"/>
  <c r="S76" i="1"/>
  <c r="Y76" i="1" s="1"/>
  <c r="Q77" i="1"/>
  <c r="W77" i="1" s="1"/>
  <c r="R77" i="1"/>
  <c r="X77" i="1" s="1"/>
  <c r="S77" i="1"/>
  <c r="Y77" i="1" s="1"/>
  <c r="Q78" i="1"/>
  <c r="W78" i="1" s="1"/>
  <c r="R78" i="1"/>
  <c r="X78" i="1" s="1"/>
  <c r="S78" i="1"/>
  <c r="Y78" i="1" s="1"/>
  <c r="Q79" i="1"/>
  <c r="W79" i="1" s="1"/>
  <c r="R79" i="1"/>
  <c r="X79" i="1" s="1"/>
  <c r="S79" i="1"/>
  <c r="Y79" i="1" s="1"/>
  <c r="R69" i="1"/>
  <c r="X69" i="1" s="1"/>
  <c r="S69" i="1"/>
  <c r="Y69" i="1" s="1"/>
  <c r="Q69" i="1"/>
  <c r="W69" i="1" s="1"/>
  <c r="Q39" i="1"/>
  <c r="W39" i="1" s="1"/>
  <c r="R39" i="1"/>
  <c r="X39" i="1" s="1"/>
  <c r="S39" i="1"/>
  <c r="Y39" i="1" s="1"/>
  <c r="Q40" i="1"/>
  <c r="W40" i="1" s="1"/>
  <c r="R40" i="1"/>
  <c r="X40" i="1" s="1"/>
  <c r="S40" i="1"/>
  <c r="Y40" i="1" s="1"/>
  <c r="Q41" i="1"/>
  <c r="W41" i="1" s="1"/>
  <c r="R41" i="1"/>
  <c r="X41" i="1" s="1"/>
  <c r="S41" i="1"/>
  <c r="Y41" i="1" s="1"/>
  <c r="Q42" i="1"/>
  <c r="W42" i="1" s="1"/>
  <c r="R42" i="1"/>
  <c r="X42" i="1" s="1"/>
  <c r="S42" i="1"/>
  <c r="Y42" i="1" s="1"/>
  <c r="Q43" i="1"/>
  <c r="W43" i="1" s="1"/>
  <c r="R43" i="1"/>
  <c r="X43" i="1" s="1"/>
  <c r="S43" i="1"/>
  <c r="Y43" i="1" s="1"/>
  <c r="Q44" i="1"/>
  <c r="W44" i="1" s="1"/>
  <c r="R44" i="1"/>
  <c r="X44" i="1" s="1"/>
  <c r="S44" i="1"/>
  <c r="Y44" i="1" s="1"/>
  <c r="Q45" i="1"/>
  <c r="W45" i="1" s="1"/>
  <c r="R45" i="1"/>
  <c r="X45" i="1" s="1"/>
  <c r="S45" i="1"/>
  <c r="Y45" i="1" s="1"/>
  <c r="Q46" i="1"/>
  <c r="W46" i="1" s="1"/>
  <c r="R46" i="1"/>
  <c r="X46" i="1" s="1"/>
  <c r="S46" i="1"/>
  <c r="Y46" i="1" s="1"/>
  <c r="R38" i="1"/>
  <c r="S38" i="1"/>
  <c r="Y38" i="1" s="1"/>
  <c r="Q38" i="1"/>
  <c r="W38" i="1" s="1"/>
  <c r="X38" i="1"/>
  <c r="W100" i="1"/>
  <c r="X100" i="1"/>
  <c r="Y100" i="1"/>
  <c r="W101" i="1"/>
  <c r="X101" i="1"/>
  <c r="Y101" i="1"/>
  <c r="W102" i="1"/>
  <c r="X102" i="1"/>
  <c r="Y102" i="1"/>
  <c r="W103" i="1"/>
  <c r="X103" i="1"/>
  <c r="Y103" i="1"/>
  <c r="W104" i="1"/>
  <c r="X104" i="1"/>
  <c r="W105" i="1"/>
  <c r="X105" i="1"/>
  <c r="W106" i="1"/>
  <c r="X106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X9" i="1"/>
  <c r="Y9" i="1"/>
  <c r="W9" i="1"/>
  <c r="V7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R9" i="1"/>
  <c r="S9" i="1"/>
  <c r="Q9" i="1"/>
  <c r="P79" i="1"/>
  <c r="B79" i="1"/>
</calcChain>
</file>

<file path=xl/sharedStrings.xml><?xml version="1.0" encoding="utf-8"?>
<sst xmlns="http://schemas.openxmlformats.org/spreadsheetml/2006/main" count="102" uniqueCount="12">
  <si>
    <t>35℃</t>
    <phoneticPr fontId="1"/>
  </si>
  <si>
    <t>40℃</t>
    <phoneticPr fontId="1"/>
  </si>
  <si>
    <t>45℃</t>
    <phoneticPr fontId="1"/>
  </si>
  <si>
    <t>Capillary tube diameter Φ 0.7</t>
    <phoneticPr fontId="2"/>
  </si>
  <si>
    <t>Condensing Temperature</t>
    <phoneticPr fontId="1"/>
  </si>
  <si>
    <t>Capillary tube diameter  Φ 0.65</t>
    <phoneticPr fontId="2"/>
  </si>
  <si>
    <t>Capillary tube diameter Φ 0.75</t>
    <phoneticPr fontId="2"/>
  </si>
  <si>
    <t>Capillary tube diameter  Φ 0.6</t>
    <phoneticPr fontId="2"/>
  </si>
  <si>
    <t>G</t>
    <phoneticPr fontId="1"/>
  </si>
  <si>
    <t>kg/h</t>
    <phoneticPr fontId="1"/>
  </si>
  <si>
    <t>Capillary tube length m</t>
    <phoneticPr fontId="1"/>
  </si>
  <si>
    <t>Calculate the Capillary tube length with changing the refrigerant flow rate and condensing temperature.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</si>
</sst>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_ "/>
    <numFmt numFmtId="165" formatCode="0.000_ "/>
    <numFmt numFmtId="166" formatCode="0.0_ "/>
    <numFmt numFmtId="167" formatCode="0.000"/>
  </numFmts>
  <fonts count="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ＭＳ Ｐ明朝"/>
      <family val="1"/>
      <charset val="128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5" fontId="0" fillId="0" borderId="2" xfId="0" applyNumberFormat="1" applyBorder="1"/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/>
    <xf numFmtId="165" fontId="0" fillId="0" borderId="6" xfId="0" applyNumberFormat="1" applyBorder="1" applyAlignment="1">
      <alignment horizontal="center"/>
    </xf>
    <xf numFmtId="165" fontId="0" fillId="0" borderId="5" xfId="0" applyNumberFormat="1" applyBorder="1" applyAlignment="1">
      <alignment horizontal="center" wrapText="1"/>
    </xf>
    <xf numFmtId="167" fontId="0" fillId="0" borderId="2" xfId="0" applyNumberFormat="1" applyBorder="1"/>
    <xf numFmtId="164" fontId="0" fillId="0" borderId="7" xfId="0" applyNumberFormat="1" applyBorder="1"/>
    <xf numFmtId="0" fontId="0" fillId="0" borderId="7" xfId="0" applyBorder="1"/>
    <xf numFmtId="0" fontId="3" fillId="0" borderId="0" xfId="0" applyFont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Capillary</a:t>
            </a:r>
            <a:r>
              <a:rPr lang="en-US" altLang="ja-JP" baseline="0"/>
              <a:t> tube flow-length  Φ0.7</a:t>
            </a:r>
          </a:p>
          <a:p>
            <a:pPr>
              <a:defRPr lang="ja-JP"/>
            </a:pPr>
            <a:r>
              <a:rPr lang="en-US" altLang="ja-JP" baseline="0"/>
              <a:t>R-600a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Sheet1!$C$68</c:f>
              <c:strCache>
                <c:ptCount val="1"/>
                <c:pt idx="0">
                  <c:v>35℃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Sheet1!$B$69:$B$79</c:f>
              <c:numCache>
                <c:formatCode>0.0_ </c:formatCode>
                <c:ptCount val="11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1.5999999999999999</c:v>
                </c:pt>
                <c:pt idx="4">
                  <c:v>1.7999999999999998</c:v>
                </c:pt>
                <c:pt idx="5">
                  <c:v>1.9999999999999998</c:v>
                </c:pt>
                <c:pt idx="6">
                  <c:v>2.1999999999999997</c:v>
                </c:pt>
                <c:pt idx="7">
                  <c:v>2.4</c:v>
                </c:pt>
                <c:pt idx="8">
                  <c:v>2.6</c:v>
                </c:pt>
                <c:pt idx="9">
                  <c:v>2.8000000000000003</c:v>
                </c:pt>
                <c:pt idx="10">
                  <c:v>3.0000000000000004</c:v>
                </c:pt>
              </c:numCache>
            </c:numRef>
          </c:xVal>
          <c:yVal>
            <c:numRef>
              <c:f>Sheet1!$C$69:$C$79</c:f>
              <c:numCache>
                <c:formatCode>0.000_ </c:formatCode>
                <c:ptCount val="11"/>
                <c:pt idx="0">
                  <c:v>5.4142422904643537</c:v>
                </c:pt>
                <c:pt idx="1">
                  <c:v>3.8964040605883548</c:v>
                </c:pt>
                <c:pt idx="2">
                  <c:v>2.9421146510140388</c:v>
                </c:pt>
                <c:pt idx="3">
                  <c:v>2.3005121848247012</c:v>
                </c:pt>
                <c:pt idx="4">
                  <c:v>1.8471271914329306</c:v>
                </c:pt>
                <c:pt idx="5">
                  <c:v>1.5142194726219156</c:v>
                </c:pt>
                <c:pt idx="6">
                  <c:v>1.2622251985738393</c:v>
                </c:pt>
                <c:pt idx="7">
                  <c:v>1.0667182434777569</c:v>
                </c:pt>
                <c:pt idx="8">
                  <c:v>0.91192819047869378</c:v>
                </c:pt>
                <c:pt idx="9">
                  <c:v>0.78730377629162296</c:v>
                </c:pt>
                <c:pt idx="10">
                  <c:v>0.68554572704190198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D2-4847-89A3-24936CAD5F89}"/>
            </c:ext>
          </c:extLst>
        </c:ser>
        <c:ser>
          <c:idx val="1"/>
          <c:order val="1"/>
          <c:tx>
            <c:strRef>
              <c:f>Sheet1!$D$68</c:f>
              <c:strCache>
                <c:ptCount val="1"/>
                <c:pt idx="0">
                  <c:v>40℃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Sheet1!$B$69:$B$79</c:f>
              <c:numCache>
                <c:formatCode>0.0_ </c:formatCode>
                <c:ptCount val="11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1.5999999999999999</c:v>
                </c:pt>
                <c:pt idx="4">
                  <c:v>1.7999999999999998</c:v>
                </c:pt>
                <c:pt idx="5">
                  <c:v>1.9999999999999998</c:v>
                </c:pt>
                <c:pt idx="6">
                  <c:v>2.1999999999999997</c:v>
                </c:pt>
                <c:pt idx="7">
                  <c:v>2.4</c:v>
                </c:pt>
                <c:pt idx="8">
                  <c:v>2.6</c:v>
                </c:pt>
                <c:pt idx="9">
                  <c:v>2.8000000000000003</c:v>
                </c:pt>
                <c:pt idx="10">
                  <c:v>3.0000000000000004</c:v>
                </c:pt>
              </c:numCache>
            </c:numRef>
          </c:xVal>
          <c:yVal>
            <c:numRef>
              <c:f>Sheet1!$D$69:$D$79</c:f>
              <c:numCache>
                <c:formatCode>0.000_ </c:formatCode>
                <c:ptCount val="11"/>
                <c:pt idx="0">
                  <c:v>6.1852934665153114</c:v>
                </c:pt>
                <c:pt idx="1">
                  <c:v>4.4554966825968929</c:v>
                </c:pt>
                <c:pt idx="2">
                  <c:v>3.3677903678391399</c:v>
                </c:pt>
                <c:pt idx="3">
                  <c:v>2.636310739291261</c:v>
                </c:pt>
                <c:pt idx="4">
                  <c:v>2.1192569362980027</c:v>
                </c:pt>
                <c:pt idx="5">
                  <c:v>1.7394298816904592</c:v>
                </c:pt>
                <c:pt idx="6">
                  <c:v>1.4517648271418331</c:v>
                </c:pt>
                <c:pt idx="7">
                  <c:v>1.2284095693141903</c:v>
                </c:pt>
                <c:pt idx="8">
                  <c:v>1.0514050568936923</c:v>
                </c:pt>
                <c:pt idx="9">
                  <c:v>0.90873796420850361</c:v>
                </c:pt>
                <c:pt idx="10">
                  <c:v>0.79205043545571163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D2-4847-89A3-24936CAD5F89}"/>
            </c:ext>
          </c:extLst>
        </c:ser>
        <c:ser>
          <c:idx val="2"/>
          <c:order val="2"/>
          <c:tx>
            <c:strRef>
              <c:f>Sheet1!$E$68</c:f>
              <c:strCache>
                <c:ptCount val="1"/>
                <c:pt idx="0">
                  <c:v>45℃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Sheet1!$B$69:$B$79</c:f>
              <c:numCache>
                <c:formatCode>0.0_ </c:formatCode>
                <c:ptCount val="11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1.5999999999999999</c:v>
                </c:pt>
                <c:pt idx="4">
                  <c:v>1.7999999999999998</c:v>
                </c:pt>
                <c:pt idx="5">
                  <c:v>1.9999999999999998</c:v>
                </c:pt>
                <c:pt idx="6">
                  <c:v>2.1999999999999997</c:v>
                </c:pt>
                <c:pt idx="7">
                  <c:v>2.4</c:v>
                </c:pt>
                <c:pt idx="8">
                  <c:v>2.6</c:v>
                </c:pt>
                <c:pt idx="9">
                  <c:v>2.8000000000000003</c:v>
                </c:pt>
                <c:pt idx="10">
                  <c:v>3.0000000000000004</c:v>
                </c:pt>
              </c:numCache>
            </c:numRef>
          </c:xVal>
          <c:yVal>
            <c:numRef>
              <c:f>Sheet1!$E$69:$E$79</c:f>
              <c:numCache>
                <c:formatCode>0.000_ </c:formatCode>
                <c:ptCount val="11"/>
                <c:pt idx="0">
                  <c:v>7.0343628507114628</c:v>
                </c:pt>
                <c:pt idx="1">
                  <c:v>5.0713806090923175</c:v>
                </c:pt>
                <c:pt idx="2">
                  <c:v>3.8368910117354535</c:v>
                </c:pt>
                <c:pt idx="3">
                  <c:v>3.0065603438638715</c:v>
                </c:pt>
                <c:pt idx="4">
                  <c:v>2.4195028658235462</c:v>
                </c:pt>
                <c:pt idx="5">
                  <c:v>1.9881160196019165</c:v>
                </c:pt>
                <c:pt idx="6">
                  <c:v>1.6612672522721437</c:v>
                </c:pt>
                <c:pt idx="7">
                  <c:v>1.4073532916786975</c:v>
                </c:pt>
                <c:pt idx="8">
                  <c:v>1.2060188738559996</c:v>
                </c:pt>
                <c:pt idx="9">
                  <c:v>1.04359204365995</c:v>
                </c:pt>
                <c:pt idx="10">
                  <c:v>0.91061059093432561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D2-4847-89A3-24936CAD5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4192"/>
        <c:axId val="118816544"/>
      </c:scatterChart>
      <c:valAx>
        <c:axId val="118814192"/>
        <c:scaling>
          <c:orientation val="minMax"/>
          <c:max val="3"/>
          <c:min val="1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Refrigerant</a:t>
                </a:r>
                <a:r>
                  <a:rPr lang="en-US" altLang="ja-JP" baseline="0"/>
                  <a:t> flow  kg/h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816544"/>
        <c:crosses val="autoZero"/>
        <c:crossBetween val="midCat"/>
        <c:majorUnit val="0.2"/>
        <c:minorUnit val="0.1"/>
      </c:valAx>
      <c:valAx>
        <c:axId val="11881654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Capillary tube length  m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81419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Capillary</a:t>
            </a:r>
            <a:r>
              <a:rPr lang="en-US" altLang="ja-JP" baseline="0"/>
              <a:t> tube flow-length  Φ0.65</a:t>
            </a:r>
          </a:p>
          <a:p>
            <a:pPr>
              <a:defRPr lang="ja-JP"/>
            </a:pPr>
            <a:r>
              <a:rPr lang="en-US" altLang="ja-JP" baseline="0"/>
              <a:t>R-600a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Sheet1!$C$37</c:f>
              <c:strCache>
                <c:ptCount val="1"/>
                <c:pt idx="0">
                  <c:v>35℃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Sheet1!$B$38:$B$46</c:f>
              <c:numCache>
                <c:formatCode>0.0_ </c:formatCode>
                <c:ptCount val="9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1.5999999999999999</c:v>
                </c:pt>
                <c:pt idx="4">
                  <c:v>1.7999999999999998</c:v>
                </c:pt>
                <c:pt idx="5">
                  <c:v>1.9999999999999998</c:v>
                </c:pt>
                <c:pt idx="6">
                  <c:v>2.1999999999999997</c:v>
                </c:pt>
                <c:pt idx="7">
                  <c:v>2.4</c:v>
                </c:pt>
                <c:pt idx="8">
                  <c:v>2.6</c:v>
                </c:pt>
              </c:numCache>
            </c:numRef>
          </c:xVal>
          <c:yVal>
            <c:numRef>
              <c:f>Sheet1!$C$38:$C$46</c:f>
              <c:numCache>
                <c:formatCode>0.000_ </c:formatCode>
                <c:ptCount val="9"/>
                <c:pt idx="0">
                  <c:v>3.7780354934942371</c:v>
                </c:pt>
                <c:pt idx="1">
                  <c:v>2.7111341528785076</c:v>
                </c:pt>
                <c:pt idx="2">
                  <c:v>2.0406620898374013</c:v>
                </c:pt>
                <c:pt idx="3">
                  <c:v>1.5901717148135392</c:v>
                </c:pt>
                <c:pt idx="4">
                  <c:v>1.2721317812126163</c:v>
                </c:pt>
                <c:pt idx="5">
                  <c:v>1.0389053987389223</c:v>
                </c:pt>
                <c:pt idx="6">
                  <c:v>0.86264904513986718</c:v>
                </c:pt>
                <c:pt idx="7">
                  <c:v>0.72619973586350695</c:v>
                </c:pt>
                <c:pt idx="8">
                  <c:v>0.61846384500248663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7A-438F-97FA-EBAF9CD524D9}"/>
            </c:ext>
          </c:extLst>
        </c:ser>
        <c:ser>
          <c:idx val="1"/>
          <c:order val="1"/>
          <c:tx>
            <c:strRef>
              <c:f>Sheet1!$D$37</c:f>
              <c:strCache>
                <c:ptCount val="1"/>
                <c:pt idx="0">
                  <c:v>40℃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Sheet1!$B$38:$B$46</c:f>
              <c:numCache>
                <c:formatCode>0.0_ </c:formatCode>
                <c:ptCount val="9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1.5999999999999999</c:v>
                </c:pt>
                <c:pt idx="4">
                  <c:v>1.7999999999999998</c:v>
                </c:pt>
                <c:pt idx="5">
                  <c:v>1.9999999999999998</c:v>
                </c:pt>
                <c:pt idx="6">
                  <c:v>2.1999999999999997</c:v>
                </c:pt>
                <c:pt idx="7">
                  <c:v>2.4</c:v>
                </c:pt>
                <c:pt idx="8">
                  <c:v>2.6</c:v>
                </c:pt>
              </c:numCache>
            </c:numRef>
          </c:xVal>
          <c:yVal>
            <c:numRef>
              <c:f>Sheet1!$D$38:$D$46</c:f>
              <c:numCache>
                <c:formatCode>0.000_ </c:formatCode>
                <c:ptCount val="9"/>
                <c:pt idx="0">
                  <c:v>4.3192849032425116</c:v>
                </c:pt>
                <c:pt idx="1">
                  <c:v>3.1032490600600728</c:v>
                </c:pt>
                <c:pt idx="2">
                  <c:v>2.338851614791432</c:v>
                </c:pt>
                <c:pt idx="3">
                  <c:v>1.8250593211833763</c:v>
                </c:pt>
                <c:pt idx="4">
                  <c:v>1.4621325847551399</c:v>
                </c:pt>
                <c:pt idx="5">
                  <c:v>1.1957903165270067</c:v>
                </c:pt>
                <c:pt idx="6">
                  <c:v>0.99431932077461593</c:v>
                </c:pt>
                <c:pt idx="7">
                  <c:v>0.83812445432407456</c:v>
                </c:pt>
                <c:pt idx="8">
                  <c:v>0.71461888904096293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7A-438F-97FA-EBAF9CD524D9}"/>
            </c:ext>
          </c:extLst>
        </c:ser>
        <c:ser>
          <c:idx val="2"/>
          <c:order val="2"/>
          <c:tx>
            <c:strRef>
              <c:f>Sheet1!$E$37</c:f>
              <c:strCache>
                <c:ptCount val="1"/>
                <c:pt idx="0">
                  <c:v>45℃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Sheet1!$B$38:$B$46</c:f>
              <c:numCache>
                <c:formatCode>0.0_ </c:formatCode>
                <c:ptCount val="9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1.5999999999999999</c:v>
                </c:pt>
                <c:pt idx="4">
                  <c:v>1.7999999999999998</c:v>
                </c:pt>
                <c:pt idx="5">
                  <c:v>1.9999999999999998</c:v>
                </c:pt>
                <c:pt idx="6">
                  <c:v>2.1999999999999997</c:v>
                </c:pt>
                <c:pt idx="7">
                  <c:v>2.4</c:v>
                </c:pt>
                <c:pt idx="8">
                  <c:v>2.6</c:v>
                </c:pt>
              </c:numCache>
            </c:numRef>
          </c:xVal>
          <c:yVal>
            <c:numRef>
              <c:f>Sheet1!$E$38:$E$46</c:f>
              <c:numCache>
                <c:formatCode>0.000_ </c:formatCode>
                <c:ptCount val="9"/>
                <c:pt idx="0">
                  <c:v>4.9154550332795175</c:v>
                </c:pt>
                <c:pt idx="1">
                  <c:v>3.5353565532429161</c:v>
                </c:pt>
                <c:pt idx="2">
                  <c:v>2.6676585829375394</c:v>
                </c:pt>
                <c:pt idx="3">
                  <c:v>2.0842740162985751</c:v>
                </c:pt>
                <c:pt idx="4">
                  <c:v>1.6720289559712658</c:v>
                </c:pt>
                <c:pt idx="5">
                  <c:v>1.3693246725228496</c:v>
                </c:pt>
                <c:pt idx="6">
                  <c:v>1.1401953257426003</c:v>
                </c:pt>
                <c:pt idx="7">
                  <c:v>0.96239934294913321</c:v>
                </c:pt>
                <c:pt idx="8">
                  <c:v>0.82164906734949739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7A-438F-97FA-EBAF9CD5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4976"/>
        <c:axId val="118815368"/>
      </c:scatterChart>
      <c:valAx>
        <c:axId val="118814976"/>
        <c:scaling>
          <c:orientation val="minMax"/>
          <c:max val="2.6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Refrigerant</a:t>
                </a:r>
                <a:r>
                  <a:rPr lang="en-US" altLang="ja-JP" baseline="0"/>
                  <a:t> flow  kg/h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815368"/>
        <c:crosses val="autoZero"/>
        <c:crossBetween val="midCat"/>
        <c:majorUnit val="0.2"/>
        <c:minorUnit val="0.1"/>
      </c:valAx>
      <c:valAx>
        <c:axId val="118815368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Capillary tube length  m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81497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Capillary</a:t>
            </a:r>
            <a:r>
              <a:rPr lang="en-US" altLang="ja-JP" baseline="0"/>
              <a:t> tube flow-length  Φ0.75</a:t>
            </a:r>
          </a:p>
          <a:p>
            <a:pPr>
              <a:defRPr lang="ja-JP"/>
            </a:pPr>
            <a:r>
              <a:rPr lang="en-US" altLang="ja-JP" baseline="0"/>
              <a:t>R-600a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Sheet1!$C$98</c:f>
              <c:strCache>
                <c:ptCount val="1"/>
                <c:pt idx="0">
                  <c:v>35℃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Sheet1!$B$99:$B$108</c:f>
              <c:numCache>
                <c:formatCode>0.0_ </c:formatCode>
                <c:ptCount val="10"/>
                <c:pt idx="0">
                  <c:v>1.6</c:v>
                </c:pt>
                <c:pt idx="1">
                  <c:v>1.8</c:v>
                </c:pt>
                <c:pt idx="2">
                  <c:v>2</c:v>
                </c:pt>
                <c:pt idx="3">
                  <c:v>2.2000000000000002</c:v>
                </c:pt>
                <c:pt idx="4">
                  <c:v>2.4000000000000004</c:v>
                </c:pt>
                <c:pt idx="5">
                  <c:v>2.6000000000000005</c:v>
                </c:pt>
                <c:pt idx="6">
                  <c:v>2.8000000000000007</c:v>
                </c:pt>
                <c:pt idx="7">
                  <c:v>3.0000000000000009</c:v>
                </c:pt>
                <c:pt idx="8">
                  <c:v>3.2000000000000011</c:v>
                </c:pt>
                <c:pt idx="9">
                  <c:v>3.4000000000000012</c:v>
                </c:pt>
              </c:numCache>
            </c:numRef>
          </c:xVal>
          <c:yVal>
            <c:numRef>
              <c:f>Sheet1!$C$99:$C$108</c:f>
              <c:numCache>
                <c:formatCode>0.000_ </c:formatCode>
                <c:ptCount val="10"/>
                <c:pt idx="0">
                  <c:v>3.2333907349368225</c:v>
                </c:pt>
                <c:pt idx="1">
                  <c:v>2.6032902267293423</c:v>
                </c:pt>
                <c:pt idx="2">
                  <c:v>2.1402879948819327</c:v>
                </c:pt>
                <c:pt idx="3">
                  <c:v>1.7894987112637479</c:v>
                </c:pt>
                <c:pt idx="4">
                  <c:v>1.5170114664003269</c:v>
                </c:pt>
                <c:pt idx="5">
                  <c:v>1.3009840805189563</c:v>
                </c:pt>
                <c:pt idx="6">
                  <c:v>1.1267193489497573</c:v>
                </c:pt>
                <c:pt idx="7">
                  <c:v>0.98407688026385398</c:v>
                </c:pt>
                <c:pt idx="8">
                  <c:v>0.86588149096593747</c:v>
                </c:pt>
                <c:pt idx="9">
                  <c:v>0.7668655112784647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4D-46F6-ACC5-8802AD0A700B}"/>
            </c:ext>
          </c:extLst>
        </c:ser>
        <c:ser>
          <c:idx val="1"/>
          <c:order val="1"/>
          <c:tx>
            <c:strRef>
              <c:f>Sheet1!$D$98</c:f>
              <c:strCache>
                <c:ptCount val="1"/>
                <c:pt idx="0">
                  <c:v>40℃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Sheet1!$B$99:$B$108</c:f>
              <c:numCache>
                <c:formatCode>0.0_ </c:formatCode>
                <c:ptCount val="10"/>
                <c:pt idx="0">
                  <c:v>1.6</c:v>
                </c:pt>
                <c:pt idx="1">
                  <c:v>1.8</c:v>
                </c:pt>
                <c:pt idx="2">
                  <c:v>2</c:v>
                </c:pt>
                <c:pt idx="3">
                  <c:v>2.2000000000000002</c:v>
                </c:pt>
                <c:pt idx="4">
                  <c:v>2.4000000000000004</c:v>
                </c:pt>
                <c:pt idx="5">
                  <c:v>2.6000000000000005</c:v>
                </c:pt>
                <c:pt idx="6">
                  <c:v>2.8000000000000007</c:v>
                </c:pt>
                <c:pt idx="7">
                  <c:v>3.0000000000000009</c:v>
                </c:pt>
                <c:pt idx="8">
                  <c:v>3.2000000000000011</c:v>
                </c:pt>
                <c:pt idx="9">
                  <c:v>3.4000000000000012</c:v>
                </c:pt>
              </c:numCache>
            </c:numRef>
          </c:xVal>
          <c:yVal>
            <c:numRef>
              <c:f>Sheet1!$D$99:$D$108</c:f>
              <c:numCache>
                <c:formatCode>0.000_ </c:formatCode>
                <c:ptCount val="10"/>
                <c:pt idx="0">
                  <c:v>3.7010822609923633</c:v>
                </c:pt>
                <c:pt idx="1">
                  <c:v>2.9827355413441157</c:v>
                </c:pt>
                <c:pt idx="2">
                  <c:v>2.4547522738582499</c:v>
                </c:pt>
                <c:pt idx="3">
                  <c:v>2.0545922782198573</c:v>
                </c:pt>
                <c:pt idx="4">
                  <c:v>1.7436272433126672</c:v>
                </c:pt>
                <c:pt idx="5">
                  <c:v>1.4969556911706321</c:v>
                </c:pt>
                <c:pt idx="6">
                  <c:v>1.2978330912926772</c:v>
                </c:pt>
                <c:pt idx="7">
                  <c:v>1.1347022943887299</c:v>
                </c:pt>
                <c:pt idx="8">
                  <c:v>0.99935519424835895</c:v>
                </c:pt>
                <c:pt idx="9">
                  <c:v>0.88585528614484388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4D-46F6-ACC5-8802AD0A700B}"/>
            </c:ext>
          </c:extLst>
        </c:ser>
        <c:ser>
          <c:idx val="2"/>
          <c:order val="2"/>
          <c:tx>
            <c:strRef>
              <c:f>Sheet1!$E$98</c:f>
              <c:strCache>
                <c:ptCount val="1"/>
                <c:pt idx="0">
                  <c:v>45℃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Sheet1!$B$99:$B$108</c:f>
              <c:numCache>
                <c:formatCode>0.0_ </c:formatCode>
                <c:ptCount val="10"/>
                <c:pt idx="0">
                  <c:v>1.6</c:v>
                </c:pt>
                <c:pt idx="1">
                  <c:v>1.8</c:v>
                </c:pt>
                <c:pt idx="2">
                  <c:v>2</c:v>
                </c:pt>
                <c:pt idx="3">
                  <c:v>2.2000000000000002</c:v>
                </c:pt>
                <c:pt idx="4">
                  <c:v>2.4000000000000004</c:v>
                </c:pt>
                <c:pt idx="5">
                  <c:v>2.6000000000000005</c:v>
                </c:pt>
                <c:pt idx="6">
                  <c:v>2.8000000000000007</c:v>
                </c:pt>
                <c:pt idx="7">
                  <c:v>3.0000000000000009</c:v>
                </c:pt>
                <c:pt idx="8">
                  <c:v>3.2000000000000011</c:v>
                </c:pt>
                <c:pt idx="9">
                  <c:v>3.4000000000000012</c:v>
                </c:pt>
              </c:numCache>
            </c:numRef>
          </c:xVal>
          <c:yVal>
            <c:numRef>
              <c:f>Sheet1!$E$99:$E$108</c:f>
              <c:numCache>
                <c:formatCode>0.000_ </c:formatCode>
                <c:ptCount val="10"/>
                <c:pt idx="0">
                  <c:v>4.2164771507346686</c:v>
                </c:pt>
                <c:pt idx="1">
                  <c:v>3.401073169897872</c:v>
                </c:pt>
                <c:pt idx="2">
                  <c:v>2.8016370412098697</c:v>
                </c:pt>
                <c:pt idx="3">
                  <c:v>2.347212076203705</c:v>
                </c:pt>
                <c:pt idx="4">
                  <c:v>1.9939687902531358</c:v>
                </c:pt>
                <c:pt idx="5">
                  <c:v>1.7136439018997276</c:v>
                </c:pt>
                <c:pt idx="6">
                  <c:v>1.487245864489132</c:v>
                </c:pt>
                <c:pt idx="7">
                  <c:v>1.3016620653186171</c:v>
                </c:pt>
                <c:pt idx="8">
                  <c:v>1.1475716623355052</c:v>
                </c:pt>
                <c:pt idx="9">
                  <c:v>1.0182160554232542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4D-46F6-ACC5-8802AD0A7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02120"/>
        <c:axId val="229394672"/>
      </c:scatterChart>
      <c:valAx>
        <c:axId val="229402120"/>
        <c:scaling>
          <c:orientation val="minMax"/>
          <c:max val="3.4"/>
          <c:min val="1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Refrigerant</a:t>
                </a:r>
                <a:r>
                  <a:rPr lang="en-US" altLang="ja-JP" baseline="0"/>
                  <a:t> flow  kg/h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9394672"/>
        <c:crosses val="autoZero"/>
        <c:crossBetween val="midCat"/>
        <c:majorUnit val="0.2"/>
        <c:minorUnit val="0.1"/>
      </c:valAx>
      <c:valAx>
        <c:axId val="22939467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Capillary tube length  m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94021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88888888888889"/>
          <c:y val="0.13326584176977879"/>
          <c:w val="0.13366666666666666"/>
          <c:h val="0.19285849268841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Capillary</a:t>
            </a:r>
            <a:r>
              <a:rPr lang="en-US" altLang="ja-JP" baseline="0"/>
              <a:t> tube flow-length  Φ0.6</a:t>
            </a:r>
          </a:p>
          <a:p>
            <a:pPr>
              <a:defRPr lang="ja-JP"/>
            </a:pPr>
            <a:r>
              <a:rPr lang="en-US" altLang="ja-JP" baseline="0"/>
              <a:t>R-600a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35℃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Sheet1!$B$9:$B$15</c:f>
              <c:numCache>
                <c:formatCode>0.000</c:formatCode>
                <c:ptCount val="7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1.5999999999999999</c:v>
                </c:pt>
                <c:pt idx="5">
                  <c:v>1.7999999999999998</c:v>
                </c:pt>
                <c:pt idx="6">
                  <c:v>1.9999999999999998</c:v>
                </c:pt>
              </c:numCache>
            </c:numRef>
          </c:xVal>
          <c:yVal>
            <c:numRef>
              <c:f>Sheet1!$C$9:$C$15</c:f>
              <c:numCache>
                <c:formatCode>0.000</c:formatCode>
                <c:ptCount val="7"/>
                <c:pt idx="0">
                  <c:v>3.830793992095761</c:v>
                </c:pt>
                <c:pt idx="1">
                  <c:v>2.5548722023262878</c:v>
                </c:pt>
                <c:pt idx="2">
                  <c:v>1.8261423146247322</c:v>
                </c:pt>
                <c:pt idx="3">
                  <c:v>1.3685667875370442</c:v>
                </c:pt>
                <c:pt idx="4">
                  <c:v>1.061492728959178</c:v>
                </c:pt>
                <c:pt idx="5">
                  <c:v>0.8450950985368314</c:v>
                </c:pt>
                <c:pt idx="6">
                  <c:v>0.68676257186414302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6E-41DE-A2E6-56C3A91F1E44}"/>
            </c:ext>
          </c:extLst>
        </c:ser>
        <c:ser>
          <c:idx val="1"/>
          <c:order val="1"/>
          <c:tx>
            <c:strRef>
              <c:f>Sheet1!$D$8</c:f>
              <c:strCache>
                <c:ptCount val="1"/>
                <c:pt idx="0">
                  <c:v>40℃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Sheet1!$B$9:$B$15</c:f>
              <c:numCache>
                <c:formatCode>0.000</c:formatCode>
                <c:ptCount val="7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1.5999999999999999</c:v>
                </c:pt>
                <c:pt idx="5">
                  <c:v>1.7999999999999998</c:v>
                </c:pt>
                <c:pt idx="6">
                  <c:v>1.9999999999999998</c:v>
                </c:pt>
              </c:numCache>
            </c:numRef>
          </c:xVal>
          <c:yVal>
            <c:numRef>
              <c:f>Sheet1!$D$9:$D$15</c:f>
              <c:numCache>
                <c:formatCode>0.000</c:formatCode>
                <c:ptCount val="7"/>
                <c:pt idx="0">
                  <c:v>4.3781247946648909</c:v>
                </c:pt>
                <c:pt idx="1">
                  <c:v>2.9239011407682773</c:v>
                </c:pt>
                <c:pt idx="2">
                  <c:v>2.0931039156832849</c:v>
                </c:pt>
                <c:pt idx="3">
                  <c:v>1.5711991383668007</c:v>
                </c:pt>
                <c:pt idx="4">
                  <c:v>1.2207272665160338</c:v>
                </c:pt>
                <c:pt idx="5">
                  <c:v>0.97349874948523807</c:v>
                </c:pt>
                <c:pt idx="6">
                  <c:v>0.79236974615460776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6E-41DE-A2E6-56C3A91F1E44}"/>
            </c:ext>
          </c:extLst>
        </c:ser>
        <c:ser>
          <c:idx val="2"/>
          <c:order val="2"/>
          <c:tx>
            <c:strRef>
              <c:f>Sheet1!$E$8</c:f>
              <c:strCache>
                <c:ptCount val="1"/>
                <c:pt idx="0">
                  <c:v>45℃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Sheet1!$B$9:$B$15</c:f>
              <c:numCache>
                <c:formatCode>0.000</c:formatCode>
                <c:ptCount val="7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1.5999999999999999</c:v>
                </c:pt>
                <c:pt idx="5">
                  <c:v>1.7999999999999998</c:v>
                </c:pt>
                <c:pt idx="6">
                  <c:v>1.9999999999999998</c:v>
                </c:pt>
              </c:numCache>
            </c:numRef>
          </c:xVal>
          <c:yVal>
            <c:numRef>
              <c:f>Sheet1!$E$9:$E$15</c:f>
              <c:numCache>
                <c:formatCode>0.000</c:formatCode>
                <c:ptCount val="7"/>
                <c:pt idx="0">
                  <c:v>4.980918682567177</c:v>
                </c:pt>
                <c:pt idx="1">
                  <c:v>3.3305478356793112</c:v>
                </c:pt>
                <c:pt idx="2">
                  <c:v>2.3874857306723483</c:v>
                </c:pt>
                <c:pt idx="3">
                  <c:v>1.7948611756777801</c:v>
                </c:pt>
                <c:pt idx="4">
                  <c:v>1.3967086438023788</c:v>
                </c:pt>
                <c:pt idx="5">
                  <c:v>1.1156466679113202</c:v>
                </c:pt>
                <c:pt idx="6">
                  <c:v>0.90953745249912854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6E-41DE-A2E6-56C3A91F1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00160"/>
        <c:axId val="229395064"/>
      </c:scatterChart>
      <c:valAx>
        <c:axId val="229400160"/>
        <c:scaling>
          <c:orientation val="minMax"/>
          <c:max val="2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Refrigerant</a:t>
                </a:r>
                <a:r>
                  <a:rPr lang="en-US" altLang="ja-JP" baseline="0"/>
                  <a:t> flow  kg/h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9395064"/>
        <c:crosses val="autoZero"/>
        <c:crossBetween val="midCat"/>
        <c:majorUnit val="0.2"/>
        <c:minorUnit val="0.1"/>
      </c:valAx>
      <c:valAx>
        <c:axId val="22939506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Capillary tube length  m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940016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93980</xdr:colOff>
      <xdr:row>65</xdr:row>
      <xdr:rowOff>8890</xdr:rowOff>
    </xdr:from>
    <xdr:to>
      <xdr:col>11</xdr:col>
      <xdr:colOff>513080</xdr:colOff>
      <xdr:row>92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</xdr:colOff>
      <xdr:row>33</xdr:row>
      <xdr:rowOff>142240</xdr:rowOff>
    </xdr:from>
    <xdr:to>
      <xdr:col>11</xdr:col>
      <xdr:colOff>601980</xdr:colOff>
      <xdr:row>61</xdr:row>
      <xdr:rowOff>132080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111760</xdr:colOff>
      <xdr:row>95</xdr:row>
      <xdr:rowOff>10160</xdr:rowOff>
    </xdr:from>
    <xdr:to>
      <xdr:col>11</xdr:col>
      <xdr:colOff>530860</xdr:colOff>
      <xdr:row>123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83820</xdr:colOff>
      <xdr:row>4</xdr:row>
      <xdr:rowOff>15240</xdr:rowOff>
    </xdr:from>
    <xdr:to>
      <xdr:col>11</xdr:col>
      <xdr:colOff>548640</xdr:colOff>
      <xdr:row>32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D108"/>
  <sheetViews>
    <sheetView tabSelected="1" topLeftCell="A88" zoomScale="75" zoomScaleNormal="75" zoomScaleSheetLayoutView="100" workbookViewId="0">
      <selection activeCell="U94" sqref="U94"/>
    </sheetView>
  </sheetViews>
  <sheetFormatPr defaultRowHeight="14.4"/>
  <cols>
    <col min="1" max="1" width="2" customWidth="1"/>
    <col min="2" max="2" width="5.6640625" customWidth="1"/>
    <col min="3" max="5" width="7.77734375" customWidth="1"/>
    <col min="13" max="13" width="1.6640625" customWidth="1"/>
    <col min="15" max="15" width="5.109375" bestFit="1" customWidth="1"/>
    <col min="16" max="16" width="5.6640625" customWidth="1"/>
    <col min="17" max="17" width="22.44140625" bestFit="1" customWidth="1"/>
    <col min="18" max="19" width="7.77734375" customWidth="1"/>
    <col min="22" max="22" width="5.6640625" customWidth="1"/>
    <col min="23" max="23" width="22.44140625" bestFit="1" customWidth="1"/>
    <col min="24" max="25" width="7.77734375" customWidth="1"/>
    <col min="27" max="27" width="5.6640625" customWidth="1"/>
    <col min="28" max="28" width="22.44140625" bestFit="1" customWidth="1"/>
    <col min="29" max="30" width="7.77734375" customWidth="1"/>
  </cols>
  <sheetData>
    <row r="2" spans="1:30">
      <c r="B2" s="14" t="s">
        <v>11</v>
      </c>
      <c r="P2" s="14" t="s">
        <v>11</v>
      </c>
      <c r="V2" s="14" t="s">
        <v>11</v>
      </c>
      <c r="AA2" s="14" t="s">
        <v>11</v>
      </c>
    </row>
    <row r="4" spans="1:30">
      <c r="B4" s="3"/>
      <c r="P4" s="3"/>
      <c r="V4" s="3"/>
      <c r="AA4" s="3"/>
    </row>
    <row r="5" spans="1:30">
      <c r="B5" s="1" t="s">
        <v>7</v>
      </c>
      <c r="P5" s="1" t="s">
        <v>7</v>
      </c>
      <c r="V5" s="1" t="s">
        <v>7</v>
      </c>
      <c r="AA5" s="1" t="s">
        <v>7</v>
      </c>
    </row>
    <row r="6" spans="1:30">
      <c r="B6" s="21" t="s">
        <v>10</v>
      </c>
      <c r="C6" s="21"/>
      <c r="D6" s="21"/>
      <c r="E6" s="21"/>
      <c r="P6" s="21" t="s">
        <v>10</v>
      </c>
      <c r="Q6" s="21"/>
      <c r="R6" s="21"/>
      <c r="S6" s="21"/>
      <c r="V6" s="21" t="s">
        <v>10</v>
      </c>
      <c r="W6" s="21"/>
      <c r="X6" s="21"/>
      <c r="Y6" s="21"/>
      <c r="AA6" s="21" t="s">
        <v>10</v>
      </c>
      <c r="AB6" s="21"/>
      <c r="AC6" s="21"/>
      <c r="AD6" s="21"/>
    </row>
    <row r="7" spans="1:30">
      <c r="B7" s="10" t="s">
        <v>8</v>
      </c>
      <c r="C7" s="18" t="s">
        <v>4</v>
      </c>
      <c r="D7" s="19"/>
      <c r="E7" s="20"/>
      <c r="P7" s="10" t="s">
        <v>8</v>
      </c>
      <c r="Q7" s="18" t="s">
        <v>4</v>
      </c>
      <c r="R7" s="19"/>
      <c r="S7" s="20"/>
      <c r="V7" s="10" t="s">
        <v>8</v>
      </c>
      <c r="W7" s="18" t="s">
        <v>4</v>
      </c>
      <c r="X7" s="19"/>
      <c r="Y7" s="20"/>
      <c r="AA7" s="10" t="s">
        <v>8</v>
      </c>
      <c r="AB7" s="18" t="s">
        <v>4</v>
      </c>
      <c r="AC7" s="19"/>
      <c r="AD7" s="20"/>
    </row>
    <row r="8" spans="1:30">
      <c r="B8" s="9" t="s">
        <v>9</v>
      </c>
      <c r="C8" s="7" t="s">
        <v>0</v>
      </c>
      <c r="D8" s="7" t="s">
        <v>1</v>
      </c>
      <c r="E8" s="7" t="s">
        <v>2</v>
      </c>
      <c r="P8" s="9" t="s">
        <v>9</v>
      </c>
      <c r="Q8" s="7">
        <v>35</v>
      </c>
      <c r="R8" s="7">
        <v>40</v>
      </c>
      <c r="S8" s="7">
        <v>45</v>
      </c>
      <c r="V8" s="9" t="s">
        <v>9</v>
      </c>
      <c r="W8" s="7">
        <v>35</v>
      </c>
      <c r="X8" s="7">
        <v>40</v>
      </c>
      <c r="Y8" s="7">
        <v>45</v>
      </c>
      <c r="AA8" s="9" t="s">
        <v>9</v>
      </c>
      <c r="AB8" s="7">
        <v>35</v>
      </c>
      <c r="AC8" s="7">
        <v>40</v>
      </c>
      <c r="AD8" s="7">
        <v>45</v>
      </c>
    </row>
    <row r="9" spans="1:30">
      <c r="A9" s="2"/>
      <c r="B9" s="11">
        <v>0.8</v>
      </c>
      <c r="C9" s="11">
        <v>3.830793992095761</v>
      </c>
      <c r="D9" s="11">
        <v>4.3781247946648909</v>
      </c>
      <c r="E9" s="11">
        <v>4.980918682567177</v>
      </c>
      <c r="O9" s="2">
        <v>0.6</v>
      </c>
      <c r="P9" s="11">
        <v>0.8</v>
      </c>
      <c r="Q9" s="11">
        <f>12.5025*POWER($O9,4.9408)*POWER($P9,-1.8444)*EXP(0.0266*Q$8)</f>
        <v>3.8366797665506023</v>
      </c>
      <c r="R9" s="11">
        <f t="shared" ref="R9:S15" si="0">12.5025*POWER($O9,4.9408)*POWER($P9,-1.8444)*EXP(0.0266*R$8)</f>
        <v>4.3824474569386016</v>
      </c>
      <c r="S9" s="11">
        <f t="shared" si="0"/>
        <v>5.0058506003733489</v>
      </c>
      <c r="V9" s="11">
        <v>0.8</v>
      </c>
      <c r="W9" s="11">
        <f>C9-Q9</f>
        <v>-5.885774454841286E-3</v>
      </c>
      <c r="X9" s="11">
        <f t="shared" ref="X9:Y9" si="1">D9-R9</f>
        <v>-4.3226622737106979E-3</v>
      </c>
      <c r="Y9" s="11">
        <f t="shared" si="1"/>
        <v>-2.4931917806171988E-2</v>
      </c>
      <c r="AA9" s="11">
        <v>0.8</v>
      </c>
      <c r="AB9" s="22">
        <f>1-Q9/C9</f>
        <v>-1.536437215623021E-3</v>
      </c>
      <c r="AC9" s="22">
        <f t="shared" ref="AC9:AD9" si="2">1-R9/D9</f>
        <v>-9.8733190040123375E-4</v>
      </c>
      <c r="AD9" s="22">
        <f t="shared" si="2"/>
        <v>-5.0054858139787495E-3</v>
      </c>
    </row>
    <row r="10" spans="1:30" ht="13.2" customHeight="1">
      <c r="A10" s="2"/>
      <c r="B10" s="11">
        <v>1</v>
      </c>
      <c r="C10" s="11">
        <v>2.5548722023262878</v>
      </c>
      <c r="D10" s="11">
        <v>2.9239011407682773</v>
      </c>
      <c r="E10" s="11">
        <v>3.3305478356793112</v>
      </c>
      <c r="O10" s="2">
        <v>0.6</v>
      </c>
      <c r="P10" s="11">
        <v>1</v>
      </c>
      <c r="Q10" s="11">
        <f t="shared" ref="Q10:Q15" si="3">12.5025*POWER($O10,4.9408)*POWER($P10,-1.8444)*EXP(0.0266*Q$8)</f>
        <v>2.5422293232499658</v>
      </c>
      <c r="R10" s="11">
        <f t="shared" si="0"/>
        <v>2.9038614402390244</v>
      </c>
      <c r="S10" s="11">
        <f t="shared" si="0"/>
        <v>3.3169357252661733</v>
      </c>
      <c r="V10" s="11">
        <v>1</v>
      </c>
      <c r="W10" s="11">
        <f t="shared" ref="W10:W15" si="4">C10-Q10</f>
        <v>1.2642879076322E-2</v>
      </c>
      <c r="X10" s="11">
        <f t="shared" ref="X10:X15" si="5">D10-R10</f>
        <v>2.0039700529252968E-2</v>
      </c>
      <c r="Y10" s="11">
        <f t="shared" ref="Y10:Y15" si="6">E10-S10</f>
        <v>1.3612110413137923E-2</v>
      </c>
      <c r="AA10" s="11">
        <v>1</v>
      </c>
      <c r="AB10" s="22">
        <f t="shared" ref="AB10:AB15" si="7">1-Q10/C10</f>
        <v>4.9485367858361773E-3</v>
      </c>
      <c r="AC10" s="22">
        <f t="shared" ref="AC10:AC15" si="8">1-R10/D10</f>
        <v>6.8537544754291302E-3</v>
      </c>
      <c r="AD10" s="22">
        <f t="shared" ref="AD10:AD15" si="9">1-S10/E10</f>
        <v>4.087048463113141E-3</v>
      </c>
    </row>
    <row r="11" spans="1:30">
      <c r="A11" s="2"/>
      <c r="B11" s="11">
        <v>1.2</v>
      </c>
      <c r="C11" s="11">
        <v>1.8261423146247322</v>
      </c>
      <c r="D11" s="11">
        <v>2.0931039156832849</v>
      </c>
      <c r="E11" s="11">
        <v>2.3874857306723483</v>
      </c>
      <c r="O11" s="2">
        <v>0.6</v>
      </c>
      <c r="P11" s="11">
        <v>1.2</v>
      </c>
      <c r="Q11" s="11">
        <f t="shared" si="3"/>
        <v>1.8162383163824649</v>
      </c>
      <c r="R11" s="11">
        <f t="shared" si="0"/>
        <v>2.074598213856377</v>
      </c>
      <c r="S11" s="11">
        <f t="shared" si="0"/>
        <v>2.3697098063147224</v>
      </c>
      <c r="V11" s="11">
        <v>1.2</v>
      </c>
      <c r="W11" s="11">
        <f t="shared" si="4"/>
        <v>9.9039982422672868E-3</v>
      </c>
      <c r="X11" s="11">
        <f t="shared" si="5"/>
        <v>1.8505701826907917E-2</v>
      </c>
      <c r="Y11" s="11">
        <f t="shared" si="6"/>
        <v>1.7775924357625872E-2</v>
      </c>
      <c r="AA11" s="11">
        <v>1.2</v>
      </c>
      <c r="AB11" s="22">
        <f t="shared" si="7"/>
        <v>5.423453672230627E-3</v>
      </c>
      <c r="AC11" s="22">
        <f t="shared" si="8"/>
        <v>8.8412723746048583E-3</v>
      </c>
      <c r="AD11" s="22">
        <f t="shared" si="9"/>
        <v>7.4454578426401685E-3</v>
      </c>
    </row>
    <row r="12" spans="1:30">
      <c r="A12" s="2"/>
      <c r="B12" s="11">
        <v>1.4</v>
      </c>
      <c r="C12" s="11">
        <v>1.3685667875370442</v>
      </c>
      <c r="D12" s="11">
        <v>1.5711991383668007</v>
      </c>
      <c r="E12" s="11">
        <v>1.7948611756777801</v>
      </c>
      <c r="O12" s="2">
        <v>0.6</v>
      </c>
      <c r="P12" s="11">
        <v>1.4</v>
      </c>
      <c r="Q12" s="11">
        <f t="shared" si="3"/>
        <v>1.3667723197438399</v>
      </c>
      <c r="R12" s="11">
        <f t="shared" si="0"/>
        <v>1.5611956799461137</v>
      </c>
      <c r="S12" s="11">
        <f t="shared" si="0"/>
        <v>1.7832757628126477</v>
      </c>
      <c r="V12" s="11">
        <v>1.4</v>
      </c>
      <c r="W12" s="11">
        <f t="shared" si="4"/>
        <v>1.7944677932042463E-3</v>
      </c>
      <c r="X12" s="11">
        <f t="shared" si="5"/>
        <v>1.000345842068695E-2</v>
      </c>
      <c r="Y12" s="11">
        <f t="shared" si="6"/>
        <v>1.1585412865132483E-2</v>
      </c>
      <c r="AA12" s="11">
        <v>1.4</v>
      </c>
      <c r="AB12" s="22">
        <f t="shared" si="7"/>
        <v>1.3112022077005347E-3</v>
      </c>
      <c r="AC12" s="22">
        <f t="shared" si="8"/>
        <v>6.3667667429382346E-3</v>
      </c>
      <c r="AD12" s="22">
        <f t="shared" si="9"/>
        <v>6.4547682139024509E-3</v>
      </c>
    </row>
    <row r="13" spans="1:30">
      <c r="A13" s="2"/>
      <c r="B13" s="11">
        <v>1.5999999999999999</v>
      </c>
      <c r="C13" s="11">
        <v>1.061492728959178</v>
      </c>
      <c r="D13" s="11">
        <v>1.2207272665160338</v>
      </c>
      <c r="E13" s="11">
        <v>1.3967086438023788</v>
      </c>
      <c r="O13" s="2">
        <v>0.6</v>
      </c>
      <c r="P13" s="11">
        <v>1.5999999999999999</v>
      </c>
      <c r="Q13" s="11">
        <f t="shared" si="3"/>
        <v>1.0684047932521046</v>
      </c>
      <c r="R13" s="11">
        <f t="shared" si="0"/>
        <v>1.220385373308936</v>
      </c>
      <c r="S13" s="11">
        <f t="shared" si="0"/>
        <v>1.3939851906251797</v>
      </c>
      <c r="V13" s="11">
        <v>1.5999999999999999</v>
      </c>
      <c r="W13" s="11">
        <f t="shared" si="4"/>
        <v>-6.9120642929265674E-3</v>
      </c>
      <c r="X13" s="11">
        <f t="shared" si="5"/>
        <v>3.4189320709776538E-4</v>
      </c>
      <c r="Y13" s="11">
        <f t="shared" si="6"/>
        <v>2.723453177199131E-3</v>
      </c>
      <c r="AA13" s="11">
        <v>1.5999999999999999</v>
      </c>
      <c r="AB13" s="22">
        <f t="shared" si="7"/>
        <v>-6.5116454445279803E-3</v>
      </c>
      <c r="AC13" s="22">
        <f t="shared" si="8"/>
        <v>2.8007337631896778E-4</v>
      </c>
      <c r="AD13" s="22">
        <f t="shared" si="9"/>
        <v>1.9499078703950623E-3</v>
      </c>
    </row>
    <row r="14" spans="1:30">
      <c r="A14" s="2"/>
      <c r="B14" s="11">
        <v>1.7999999999999998</v>
      </c>
      <c r="C14" s="11">
        <v>0.8450950985368314</v>
      </c>
      <c r="D14" s="11">
        <v>0.97349874948523807</v>
      </c>
      <c r="E14" s="11">
        <v>1.1156466679113202</v>
      </c>
      <c r="O14" s="2">
        <v>0.6</v>
      </c>
      <c r="P14" s="11">
        <v>1.7999999999999998</v>
      </c>
      <c r="Q14" s="11">
        <f t="shared" si="3"/>
        <v>0.85978549751665923</v>
      </c>
      <c r="R14" s="11">
        <f t="shared" si="0"/>
        <v>0.98208998310333129</v>
      </c>
      <c r="S14" s="11">
        <f t="shared" si="0"/>
        <v>1.1217922815605679</v>
      </c>
      <c r="V14" s="11">
        <v>1.7999999999999998</v>
      </c>
      <c r="W14" s="11">
        <f t="shared" si="4"/>
        <v>-1.4690398979827823E-2</v>
      </c>
      <c r="X14" s="11">
        <f t="shared" si="5"/>
        <v>-8.5912336180932192E-3</v>
      </c>
      <c r="Y14" s="11">
        <f t="shared" si="6"/>
        <v>-6.1456136492477054E-3</v>
      </c>
      <c r="AA14" s="11">
        <v>1.7999999999999998</v>
      </c>
      <c r="AB14" s="22">
        <f t="shared" si="7"/>
        <v>-1.7383131206490487E-2</v>
      </c>
      <c r="AC14" s="22">
        <f t="shared" si="8"/>
        <v>-8.8251100709024755E-3</v>
      </c>
      <c r="AD14" s="22">
        <f t="shared" si="9"/>
        <v>-5.5085663104730287E-3</v>
      </c>
    </row>
    <row r="15" spans="1:30">
      <c r="A15" s="2"/>
      <c r="B15" s="11">
        <v>1.9999999999999998</v>
      </c>
      <c r="C15" s="11">
        <v>0.68676257186414302</v>
      </c>
      <c r="D15" s="11">
        <v>0.79236974615460776</v>
      </c>
      <c r="E15" s="11">
        <v>0.90953745249912854</v>
      </c>
      <c r="O15" s="2">
        <v>0.6</v>
      </c>
      <c r="P15" s="11">
        <v>1.9999999999999998</v>
      </c>
      <c r="Q15" s="11">
        <f t="shared" si="3"/>
        <v>0.70793763352010897</v>
      </c>
      <c r="R15" s="11">
        <f t="shared" si="0"/>
        <v>0.80864176070672189</v>
      </c>
      <c r="S15" s="11">
        <f t="shared" si="0"/>
        <v>0.92367104981754433</v>
      </c>
      <c r="V15" s="11">
        <v>1.9999999999999998</v>
      </c>
      <c r="W15" s="11">
        <f t="shared" si="4"/>
        <v>-2.1175061655965943E-2</v>
      </c>
      <c r="X15" s="11">
        <f t="shared" si="5"/>
        <v>-1.6272014552114134E-2</v>
      </c>
      <c r="Y15" s="11">
        <f t="shared" si="6"/>
        <v>-1.4133597318415791E-2</v>
      </c>
      <c r="AA15" s="11">
        <v>1.9999999999999998</v>
      </c>
      <c r="AB15" s="22">
        <f t="shared" si="7"/>
        <v>-3.083316203224129E-2</v>
      </c>
      <c r="AC15" s="22">
        <f t="shared" si="8"/>
        <v>-2.0535885716337132E-2</v>
      </c>
      <c r="AD15" s="22">
        <f t="shared" si="9"/>
        <v>-1.5539324169203894E-2</v>
      </c>
    </row>
    <row r="16" spans="1:30">
      <c r="A16" s="2"/>
      <c r="O16" s="2"/>
    </row>
    <row r="17" spans="1:27">
      <c r="A17" s="2"/>
      <c r="O17" s="2"/>
    </row>
    <row r="18" spans="1:27">
      <c r="A18" s="2"/>
      <c r="O18" s="2"/>
    </row>
    <row r="19" spans="1:27">
      <c r="B19" s="5"/>
      <c r="P19" s="5"/>
      <c r="V19" s="5"/>
      <c r="AA19" s="5"/>
    </row>
    <row r="20" spans="1:27">
      <c r="B20" s="5"/>
      <c r="P20" s="5"/>
      <c r="V20" s="5"/>
      <c r="AA20" s="5"/>
    </row>
    <row r="21" spans="1:27">
      <c r="B21" s="5"/>
      <c r="P21" s="5"/>
      <c r="V21" s="5"/>
      <c r="AA21" s="5"/>
    </row>
    <row r="22" spans="1:27">
      <c r="B22" s="5"/>
      <c r="P22" s="5"/>
      <c r="V22" s="5"/>
      <c r="AA22" s="5"/>
    </row>
    <row r="23" spans="1:27">
      <c r="B23" s="5"/>
      <c r="P23" s="5"/>
      <c r="V23" s="5"/>
      <c r="AA23" s="5"/>
    </row>
    <row r="24" spans="1:27">
      <c r="B24" s="5"/>
      <c r="P24" s="5"/>
      <c r="V24" s="5"/>
      <c r="AA24" s="5"/>
    </row>
    <row r="25" spans="1:27">
      <c r="B25" s="5"/>
      <c r="P25" s="5"/>
      <c r="V25" s="5"/>
      <c r="AA25" s="5"/>
    </row>
    <row r="26" spans="1:27">
      <c r="B26" s="5"/>
      <c r="P26" s="5"/>
      <c r="V26" s="5"/>
      <c r="AA26" s="5"/>
    </row>
    <row r="27" spans="1:27">
      <c r="B27" s="4"/>
      <c r="P27" s="4"/>
      <c r="V27" s="4"/>
      <c r="AA27" s="4"/>
    </row>
    <row r="35" spans="2:30">
      <c r="B35" s="1" t="s">
        <v>5</v>
      </c>
      <c r="P35" s="1" t="s">
        <v>5</v>
      </c>
      <c r="V35" s="1" t="s">
        <v>5</v>
      </c>
      <c r="AA35" s="1" t="s">
        <v>5</v>
      </c>
    </row>
    <row r="36" spans="2:30">
      <c r="B36" s="10" t="s">
        <v>8</v>
      </c>
      <c r="C36" s="18" t="s">
        <v>4</v>
      </c>
      <c r="D36" s="19"/>
      <c r="E36" s="20"/>
      <c r="P36" s="10" t="s">
        <v>8</v>
      </c>
      <c r="Q36" s="18" t="s">
        <v>4</v>
      </c>
      <c r="R36" s="19"/>
      <c r="S36" s="20"/>
      <c r="V36" s="10" t="s">
        <v>8</v>
      </c>
      <c r="W36" s="18" t="s">
        <v>4</v>
      </c>
      <c r="X36" s="19"/>
      <c r="Y36" s="20"/>
      <c r="AA36" s="10" t="s">
        <v>8</v>
      </c>
      <c r="AB36" s="18" t="s">
        <v>4</v>
      </c>
      <c r="AC36" s="19"/>
      <c r="AD36" s="20"/>
    </row>
    <row r="37" spans="2:30">
      <c r="B37" s="9" t="s">
        <v>9</v>
      </c>
      <c r="C37" s="7" t="s">
        <v>0</v>
      </c>
      <c r="D37" s="7" t="s">
        <v>1</v>
      </c>
      <c r="E37" s="7" t="s">
        <v>2</v>
      </c>
      <c r="P37" s="9" t="s">
        <v>9</v>
      </c>
      <c r="Q37" s="7">
        <v>35</v>
      </c>
      <c r="R37" s="7">
        <v>40</v>
      </c>
      <c r="S37" s="7">
        <v>45</v>
      </c>
      <c r="V37" s="9" t="s">
        <v>9</v>
      </c>
      <c r="W37" s="7" t="s">
        <v>0</v>
      </c>
      <c r="X37" s="7" t="s">
        <v>1</v>
      </c>
      <c r="Y37" s="7" t="s">
        <v>2</v>
      </c>
      <c r="AA37" s="9" t="s">
        <v>9</v>
      </c>
      <c r="AB37" s="7" t="s">
        <v>0</v>
      </c>
      <c r="AC37" s="7" t="s">
        <v>1</v>
      </c>
      <c r="AD37" s="7" t="s">
        <v>2</v>
      </c>
    </row>
    <row r="38" spans="2:30">
      <c r="B38" s="8">
        <v>1</v>
      </c>
      <c r="C38" s="6">
        <v>3.7780354934942371</v>
      </c>
      <c r="D38" s="6">
        <v>4.3192849032425116</v>
      </c>
      <c r="E38" s="6">
        <v>4.9154550332795175</v>
      </c>
      <c r="O38">
        <v>0.65</v>
      </c>
      <c r="P38" s="8">
        <v>1</v>
      </c>
      <c r="Q38" s="11">
        <f>12.5025*POWER($O38,4.9408)*POWER($P38,-1.8444)*EXP(0.0266*Q$37)</f>
        <v>3.7754379623242316</v>
      </c>
      <c r="R38" s="11">
        <f t="shared" ref="R38:S46" si="10">12.5025*POWER($O38,4.9408)*POWER($P38,-1.8444)*EXP(0.0266*R$37)</f>
        <v>4.3124940061632486</v>
      </c>
      <c r="S38" s="11">
        <f t="shared" si="10"/>
        <v>4.9259462713419619</v>
      </c>
      <c r="V38" s="8">
        <v>1</v>
      </c>
      <c r="W38" s="11">
        <f>C38-Q38</f>
        <v>2.5975311700054959E-3</v>
      </c>
      <c r="X38" s="11">
        <f t="shared" ref="X38" si="11">D38-R38</f>
        <v>6.7908970792629475E-3</v>
      </c>
      <c r="Y38" s="11">
        <f t="shared" ref="Y38" si="12">E38-S38</f>
        <v>-1.0491238062444452E-2</v>
      </c>
      <c r="AA38" s="8">
        <v>1</v>
      </c>
      <c r="AB38" s="22">
        <f>1-Q38/C38</f>
        <v>6.8753487744577235E-4</v>
      </c>
      <c r="AC38" s="22">
        <f t="shared" ref="AC38:AC44" si="13">1-R38/D38</f>
        <v>1.5722271698643819E-3</v>
      </c>
      <c r="AD38" s="22">
        <f t="shared" ref="AD38:AD44" si="14">1-S38/E38</f>
        <v>-2.1343371043809345E-3</v>
      </c>
    </row>
    <row r="39" spans="2:30">
      <c r="B39" s="8">
        <v>1.2</v>
      </c>
      <c r="C39" s="6">
        <v>2.7111341528785076</v>
      </c>
      <c r="D39" s="6">
        <v>3.1032490600600728</v>
      </c>
      <c r="E39" s="6">
        <v>3.5353565532429161</v>
      </c>
      <c r="O39">
        <v>0.65</v>
      </c>
      <c r="P39" s="8">
        <v>1.2</v>
      </c>
      <c r="Q39" s="11">
        <f t="shared" ref="Q39:Q46" si="15">12.5025*POWER($O39,4.9408)*POWER($P39,-1.8444)*EXP(0.0266*Q$37)</f>
        <v>2.6972763729796609</v>
      </c>
      <c r="R39" s="11">
        <f t="shared" si="10"/>
        <v>3.0809639325339786</v>
      </c>
      <c r="S39" s="11">
        <f t="shared" si="10"/>
        <v>3.5192310467944821</v>
      </c>
      <c r="V39" s="8">
        <v>1.2</v>
      </c>
      <c r="W39" s="11">
        <f t="shared" ref="W39:W46" si="16">C39-Q39</f>
        <v>1.3857779898846623E-2</v>
      </c>
      <c r="X39" s="11">
        <f t="shared" ref="X39:X46" si="17">D39-R39</f>
        <v>2.2285127526094239E-2</v>
      </c>
      <c r="Y39" s="11">
        <f t="shared" ref="Y39:Y46" si="18">E39-S39</f>
        <v>1.6125506448434024E-2</v>
      </c>
      <c r="AA39" s="8">
        <v>1.2</v>
      </c>
      <c r="AB39" s="22">
        <f t="shared" ref="AB39:AB44" si="19">1-Q39/C39</f>
        <v>5.1114327500663137E-3</v>
      </c>
      <c r="AC39" s="22">
        <f t="shared" si="13"/>
        <v>7.1812242893783962E-3</v>
      </c>
      <c r="AD39" s="22">
        <f t="shared" si="14"/>
        <v>4.5612107875350194E-3</v>
      </c>
    </row>
    <row r="40" spans="2:30">
      <c r="B40" s="8">
        <v>1.4</v>
      </c>
      <c r="C40" s="6">
        <v>2.0406620898374013</v>
      </c>
      <c r="D40" s="6">
        <v>2.338851614791432</v>
      </c>
      <c r="E40" s="6">
        <v>2.6676585829375394</v>
      </c>
      <c r="O40">
        <v>0.65</v>
      </c>
      <c r="P40" s="8">
        <v>1.4</v>
      </c>
      <c r="Q40" s="11">
        <f t="shared" si="15"/>
        <v>2.0297791606062243</v>
      </c>
      <c r="R40" s="11">
        <f t="shared" si="10"/>
        <v>2.3185152428145441</v>
      </c>
      <c r="S40" s="11">
        <f t="shared" si="10"/>
        <v>2.6483240322350654</v>
      </c>
      <c r="V40" s="8">
        <v>1.4</v>
      </c>
      <c r="W40" s="11">
        <f t="shared" si="16"/>
        <v>1.0882929231176952E-2</v>
      </c>
      <c r="X40" s="11">
        <f t="shared" si="17"/>
        <v>2.0336371976887868E-2</v>
      </c>
      <c r="Y40" s="11">
        <f t="shared" si="18"/>
        <v>1.9334550702474029E-2</v>
      </c>
      <c r="AA40" s="8">
        <v>1.4</v>
      </c>
      <c r="AB40" s="22">
        <f t="shared" si="19"/>
        <v>5.3330383728763531E-3</v>
      </c>
      <c r="AC40" s="22">
        <f t="shared" si="13"/>
        <v>8.6950244505791252E-3</v>
      </c>
      <c r="AD40" s="22">
        <f t="shared" si="14"/>
        <v>7.2477605740625117E-3</v>
      </c>
    </row>
    <row r="41" spans="2:30">
      <c r="B41" s="8">
        <v>1.5999999999999999</v>
      </c>
      <c r="C41" s="6">
        <v>1.5901717148135392</v>
      </c>
      <c r="D41" s="6">
        <v>1.8250593211833763</v>
      </c>
      <c r="E41" s="6">
        <v>2.0842740162985751</v>
      </c>
      <c r="O41">
        <v>0.65</v>
      </c>
      <c r="P41" s="8">
        <v>1.5999999999999999</v>
      </c>
      <c r="Q41" s="11">
        <f t="shared" si="15"/>
        <v>1.5866766930437741</v>
      </c>
      <c r="R41" s="11">
        <f t="shared" si="10"/>
        <v>1.8123814499809201</v>
      </c>
      <c r="S41" s="11">
        <f t="shared" si="10"/>
        <v>2.0701927082156493</v>
      </c>
      <c r="V41" s="8">
        <v>1.5999999999999999</v>
      </c>
      <c r="W41" s="11">
        <f t="shared" si="16"/>
        <v>3.4950217697651276E-3</v>
      </c>
      <c r="X41" s="11">
        <f t="shared" si="17"/>
        <v>1.2677871202456226E-2</v>
      </c>
      <c r="Y41" s="11">
        <f t="shared" si="18"/>
        <v>1.4081308082925847E-2</v>
      </c>
      <c r="AA41" s="8">
        <v>1.5999999999999999</v>
      </c>
      <c r="AB41" s="22">
        <f t="shared" si="19"/>
        <v>2.1978895343229832E-3</v>
      </c>
      <c r="AC41" s="22">
        <f t="shared" si="13"/>
        <v>6.9465529450494223E-3</v>
      </c>
      <c r="AD41" s="22">
        <f t="shared" si="14"/>
        <v>6.7559773680490043E-3</v>
      </c>
    </row>
    <row r="42" spans="2:30">
      <c r="B42" s="8">
        <v>1.7999999999999998</v>
      </c>
      <c r="C42" s="6">
        <v>1.2721317812126163</v>
      </c>
      <c r="D42" s="6">
        <v>1.4621325847551399</v>
      </c>
      <c r="E42" s="6">
        <v>1.6720289559712658</v>
      </c>
      <c r="O42">
        <v>0.65</v>
      </c>
      <c r="P42" s="8">
        <v>1.7999999999999998</v>
      </c>
      <c r="Q42" s="11">
        <f t="shared" si="15"/>
        <v>1.2768583766591421</v>
      </c>
      <c r="R42" s="11">
        <f t="shared" si="10"/>
        <v>1.4584914786076939</v>
      </c>
      <c r="S42" s="11">
        <f t="shared" si="10"/>
        <v>1.6659618890052614</v>
      </c>
      <c r="V42" s="8">
        <v>1.7999999999999998</v>
      </c>
      <c r="W42" s="11">
        <f t="shared" si="16"/>
        <v>-4.7265954465258719E-3</v>
      </c>
      <c r="X42" s="11">
        <f t="shared" si="17"/>
        <v>3.6411061474459494E-3</v>
      </c>
      <c r="Y42" s="11">
        <f t="shared" si="18"/>
        <v>6.0670669660043419E-3</v>
      </c>
      <c r="AA42" s="8">
        <v>1.7999999999999998</v>
      </c>
      <c r="AB42" s="22">
        <f t="shared" si="19"/>
        <v>-3.7154919925201924E-3</v>
      </c>
      <c r="AC42" s="22">
        <f t="shared" si="13"/>
        <v>2.4902708450723621E-3</v>
      </c>
      <c r="AD42" s="22">
        <f t="shared" si="14"/>
        <v>3.6285657280857864E-3</v>
      </c>
    </row>
    <row r="43" spans="2:30">
      <c r="B43" s="8">
        <v>1.9999999999999998</v>
      </c>
      <c r="C43" s="6">
        <v>1.0389053987389223</v>
      </c>
      <c r="D43" s="6">
        <v>1.1957903165270067</v>
      </c>
      <c r="E43" s="6">
        <v>1.3693246725228496</v>
      </c>
      <c r="O43">
        <v>0.65</v>
      </c>
      <c r="P43" s="8">
        <v>1.9999999999999998</v>
      </c>
      <c r="Q43" s="11">
        <f t="shared" si="15"/>
        <v>1.0513507149437427</v>
      </c>
      <c r="R43" s="11">
        <f t="shared" si="10"/>
        <v>1.2009053523896749</v>
      </c>
      <c r="S43" s="11">
        <f t="shared" si="10"/>
        <v>1.3717341367626679</v>
      </c>
      <c r="V43" s="8">
        <v>1.9999999999999998</v>
      </c>
      <c r="W43" s="11">
        <f t="shared" si="16"/>
        <v>-1.2445316204820367E-2</v>
      </c>
      <c r="X43" s="11">
        <f t="shared" si="17"/>
        <v>-5.1150358626681491E-3</v>
      </c>
      <c r="Y43" s="11">
        <f t="shared" si="18"/>
        <v>-2.4094642398182486E-3</v>
      </c>
      <c r="AA43" s="8">
        <v>1.9999999999999998</v>
      </c>
      <c r="AB43" s="22">
        <f t="shared" si="19"/>
        <v>-1.1979258380914404E-2</v>
      </c>
      <c r="AC43" s="22">
        <f t="shared" si="13"/>
        <v>-4.2775357786171142E-3</v>
      </c>
      <c r="AD43" s="22">
        <f t="shared" si="14"/>
        <v>-1.7596003987709885E-3</v>
      </c>
    </row>
    <row r="44" spans="2:30">
      <c r="B44" s="8">
        <v>2.1999999999999997</v>
      </c>
      <c r="C44" s="6">
        <v>0.86264904513986718</v>
      </c>
      <c r="D44" s="6">
        <v>0.99431932077461593</v>
      </c>
      <c r="E44" s="6">
        <v>1.1401953257426003</v>
      </c>
      <c r="O44">
        <v>0.65</v>
      </c>
      <c r="P44" s="8">
        <v>2.1999999999999997</v>
      </c>
      <c r="Q44" s="11">
        <f t="shared" si="15"/>
        <v>0.88186670459410132</v>
      </c>
      <c r="R44" s="11">
        <f t="shared" si="10"/>
        <v>1.0073122418506837</v>
      </c>
      <c r="S44" s="11">
        <f t="shared" si="10"/>
        <v>1.1506024065726326</v>
      </c>
      <c r="V44" s="8">
        <v>2.1999999999999997</v>
      </c>
      <c r="W44" s="11">
        <f t="shared" si="16"/>
        <v>-1.9217659454234148E-2</v>
      </c>
      <c r="X44" s="11">
        <f t="shared" si="17"/>
        <v>-1.2992921076067754E-2</v>
      </c>
      <c r="Y44" s="11">
        <f t="shared" si="18"/>
        <v>-1.0407080830032278E-2</v>
      </c>
      <c r="AA44" s="8">
        <v>2.1999999999999997</v>
      </c>
      <c r="AB44" s="22">
        <f t="shared" si="19"/>
        <v>-2.2277494610937865E-2</v>
      </c>
      <c r="AC44" s="22">
        <f t="shared" si="13"/>
        <v>-1.3067151371398245E-2</v>
      </c>
      <c r="AD44" s="22">
        <f t="shared" si="14"/>
        <v>-9.1274543887944759E-3</v>
      </c>
    </row>
    <row r="45" spans="2:30">
      <c r="B45" s="8">
        <v>2.4</v>
      </c>
      <c r="C45" s="6">
        <v>0.72619973586350695</v>
      </c>
      <c r="D45" s="6">
        <v>0.83812445432407456</v>
      </c>
      <c r="E45" s="6">
        <v>0.96239934294913321</v>
      </c>
      <c r="O45">
        <v>0.65</v>
      </c>
      <c r="P45" s="8">
        <v>2.4</v>
      </c>
      <c r="Q45" s="11">
        <f t="shared" si="15"/>
        <v>0.7511137704901576</v>
      </c>
      <c r="R45" s="11">
        <f t="shared" si="10"/>
        <v>0.85795970308869429</v>
      </c>
      <c r="S45" s="11">
        <f t="shared" si="10"/>
        <v>0.98000446942103547</v>
      </c>
      <c r="V45" s="8">
        <v>2.4</v>
      </c>
      <c r="W45" s="11">
        <f t="shared" si="16"/>
        <v>-2.491403462665065E-2</v>
      </c>
      <c r="X45" s="11">
        <f t="shared" si="17"/>
        <v>-1.9835248764619728E-2</v>
      </c>
      <c r="Y45" s="11">
        <f t="shared" si="18"/>
        <v>-1.7605126471902266E-2</v>
      </c>
      <c r="AA45" s="8">
        <v>2.4</v>
      </c>
      <c r="AB45" s="22">
        <f>1-Q45/C45</f>
        <v>-3.4307413506596829E-2</v>
      </c>
      <c r="AC45" s="22">
        <f t="shared" ref="AC45:AC46" si="20">1-R45/D45</f>
        <v>-2.3666233173707196E-2</v>
      </c>
      <c r="AD45" s="22">
        <f t="shared" ref="AD45:AD46" si="21">1-S45/E45</f>
        <v>-1.8292953544579493E-2</v>
      </c>
    </row>
    <row r="46" spans="2:30">
      <c r="B46" s="8">
        <v>2.6</v>
      </c>
      <c r="C46" s="6">
        <v>0.61846384500248663</v>
      </c>
      <c r="D46" s="6">
        <v>0.71461888904096293</v>
      </c>
      <c r="E46" s="6">
        <v>0.82164906734949739</v>
      </c>
      <c r="O46">
        <v>0.65</v>
      </c>
      <c r="P46" s="8">
        <v>2.6</v>
      </c>
      <c r="Q46" s="11">
        <f t="shared" si="15"/>
        <v>0.64802311191702444</v>
      </c>
      <c r="R46" s="11">
        <f t="shared" si="10"/>
        <v>0.74020439850560216</v>
      </c>
      <c r="S46" s="11">
        <f t="shared" si="10"/>
        <v>0.84549847295754454</v>
      </c>
      <c r="V46" s="8">
        <v>2.6</v>
      </c>
      <c r="W46" s="11">
        <f t="shared" si="16"/>
        <v>-2.9559266914537807E-2</v>
      </c>
      <c r="X46" s="11">
        <f t="shared" si="17"/>
        <v>-2.5585509464639222E-2</v>
      </c>
      <c r="Y46" s="11">
        <f t="shared" si="18"/>
        <v>-2.3849405608047158E-2</v>
      </c>
      <c r="AA46" s="8">
        <v>2.6</v>
      </c>
      <c r="AB46" s="22">
        <f t="shared" ref="AB46" si="22">1-Q46/C46</f>
        <v>-4.7794656314014583E-2</v>
      </c>
      <c r="AC46" s="22">
        <f t="shared" si="20"/>
        <v>-3.5803013126305183E-2</v>
      </c>
      <c r="AD46" s="22">
        <f t="shared" si="21"/>
        <v>-2.9026267485438018E-2</v>
      </c>
    </row>
    <row r="50" spans="2:27">
      <c r="B50" s="4"/>
      <c r="P50" s="4"/>
      <c r="V50" s="4"/>
      <c r="AA50" s="4"/>
    </row>
    <row r="51" spans="2:27">
      <c r="B51" s="4"/>
      <c r="P51" s="4"/>
      <c r="V51" s="4"/>
      <c r="AA51" s="4"/>
    </row>
    <row r="52" spans="2:27">
      <c r="B52" s="4"/>
      <c r="P52" s="4"/>
      <c r="V52" s="4"/>
      <c r="AA52" s="4"/>
    </row>
    <row r="53" spans="2:27">
      <c r="B53" s="4"/>
      <c r="P53" s="4"/>
      <c r="V53" s="4"/>
      <c r="AA53" s="4"/>
    </row>
    <row r="54" spans="2:27">
      <c r="B54" s="4"/>
      <c r="P54" s="4"/>
      <c r="V54" s="4"/>
      <c r="AA54" s="4"/>
    </row>
    <row r="55" spans="2:27">
      <c r="B55" s="4"/>
      <c r="P55" s="4"/>
      <c r="V55" s="4"/>
      <c r="AA55" s="4"/>
    </row>
    <row r="56" spans="2:27">
      <c r="B56" s="4"/>
      <c r="P56" s="4"/>
      <c r="V56" s="4"/>
      <c r="AA56" s="4"/>
    </row>
    <row r="57" spans="2:27">
      <c r="B57" s="4"/>
      <c r="P57" s="4"/>
      <c r="V57" s="4"/>
      <c r="AA57" s="4"/>
    </row>
    <row r="58" spans="2:27">
      <c r="B58" s="4"/>
      <c r="P58" s="4"/>
      <c r="V58" s="4"/>
      <c r="AA58" s="4"/>
    </row>
    <row r="59" spans="2:27">
      <c r="B59" s="4"/>
      <c r="P59" s="4"/>
      <c r="V59" s="4"/>
      <c r="AA59" s="4"/>
    </row>
    <row r="60" spans="2:27">
      <c r="B60" s="4"/>
      <c r="P60" s="4"/>
      <c r="V60" s="4"/>
      <c r="AA60" s="4"/>
    </row>
    <row r="61" spans="2:27">
      <c r="B61" s="4"/>
      <c r="P61" s="4"/>
      <c r="V61" s="4"/>
      <c r="AA61" s="4"/>
    </row>
    <row r="62" spans="2:27">
      <c r="B62" s="4"/>
      <c r="P62" s="4"/>
      <c r="V62" s="4"/>
      <c r="AA62" s="4"/>
    </row>
    <row r="63" spans="2:27">
      <c r="B63" s="4"/>
      <c r="P63" s="4"/>
      <c r="V63" s="4"/>
      <c r="AA63" s="4"/>
    </row>
    <row r="64" spans="2:27">
      <c r="B64" s="4"/>
      <c r="P64" s="4"/>
      <c r="V64" s="4"/>
      <c r="AA64" s="4"/>
    </row>
    <row r="65" spans="2:30">
      <c r="B65" s="4"/>
      <c r="P65" s="4"/>
      <c r="V65" s="4"/>
      <c r="AA65" s="4"/>
    </row>
    <row r="66" spans="2:30">
      <c r="B66" s="1" t="s">
        <v>3</v>
      </c>
      <c r="P66" s="1" t="s">
        <v>3</v>
      </c>
      <c r="V66" s="1" t="s">
        <v>3</v>
      </c>
      <c r="AA66" s="1" t="s">
        <v>3</v>
      </c>
    </row>
    <row r="67" spans="2:30">
      <c r="B67" s="10" t="s">
        <v>8</v>
      </c>
      <c r="C67" s="15" t="s">
        <v>4</v>
      </c>
      <c r="D67" s="16"/>
      <c r="E67" s="17"/>
      <c r="P67" s="10" t="s">
        <v>8</v>
      </c>
      <c r="Q67" s="15" t="s">
        <v>4</v>
      </c>
      <c r="R67" s="16"/>
      <c r="S67" s="17"/>
      <c r="V67" s="10" t="s">
        <v>8</v>
      </c>
      <c r="W67" s="15" t="s">
        <v>4</v>
      </c>
      <c r="X67" s="16"/>
      <c r="Y67" s="17"/>
      <c r="AA67" s="10" t="s">
        <v>8</v>
      </c>
      <c r="AB67" s="15" t="s">
        <v>4</v>
      </c>
      <c r="AC67" s="16"/>
      <c r="AD67" s="17"/>
    </row>
    <row r="68" spans="2:30">
      <c r="B68" s="9" t="s">
        <v>9</v>
      </c>
      <c r="C68" s="7" t="s">
        <v>0</v>
      </c>
      <c r="D68" s="7" t="s">
        <v>1</v>
      </c>
      <c r="E68" s="7" t="s">
        <v>2</v>
      </c>
      <c r="P68" s="9" t="s">
        <v>9</v>
      </c>
      <c r="Q68" s="7">
        <v>35</v>
      </c>
      <c r="R68" s="7">
        <v>40</v>
      </c>
      <c r="S68" s="7">
        <v>45</v>
      </c>
      <c r="V68" s="9" t="s">
        <v>9</v>
      </c>
      <c r="W68" s="7" t="s">
        <v>0</v>
      </c>
      <c r="X68" s="7" t="s">
        <v>1</v>
      </c>
      <c r="Y68" s="7" t="s">
        <v>2</v>
      </c>
      <c r="AA68" s="9" t="s">
        <v>9</v>
      </c>
      <c r="AB68" s="7" t="s">
        <v>0</v>
      </c>
      <c r="AC68" s="7" t="s">
        <v>1</v>
      </c>
      <c r="AD68" s="7" t="s">
        <v>2</v>
      </c>
    </row>
    <row r="69" spans="2:30">
      <c r="B69" s="8">
        <v>1</v>
      </c>
      <c r="C69" s="6">
        <v>5.4142422904643537</v>
      </c>
      <c r="D69" s="6">
        <v>6.1852934665153114</v>
      </c>
      <c r="E69" s="6">
        <v>7.0343628507114628</v>
      </c>
      <c r="O69">
        <v>0.7</v>
      </c>
      <c r="P69" s="8">
        <v>1</v>
      </c>
      <c r="Q69" s="11">
        <f>12.5025*POWER($O69,4.9408)*POWER($P69,-1.8444)*EXP(0.0266*Q$68)</f>
        <v>5.44484375749576</v>
      </c>
      <c r="R69" s="11">
        <f t="shared" ref="R69:S79" si="23">12.5025*POWER($O69,4.9408)*POWER($P69,-1.8444)*EXP(0.0266*R$68)</f>
        <v>6.2193727729115125</v>
      </c>
      <c r="S69" s="11">
        <f t="shared" si="23"/>
        <v>7.104078539477384</v>
      </c>
      <c r="V69" s="8">
        <v>1</v>
      </c>
      <c r="W69" s="11">
        <f>C69-Q69</f>
        <v>-3.0601467031406315E-2</v>
      </c>
      <c r="X69" s="11">
        <f t="shared" ref="X69" si="24">D69-R69</f>
        <v>-3.4079306396201048E-2</v>
      </c>
      <c r="Y69" s="11">
        <f t="shared" ref="Y69" si="25">E69-S69</f>
        <v>-6.9715688765921158E-2</v>
      </c>
      <c r="AA69" s="8">
        <v>1</v>
      </c>
      <c r="AB69" s="22">
        <f>1-Q69/C69</f>
        <v>-5.6520313258425769E-3</v>
      </c>
      <c r="AC69" s="22">
        <f t="shared" ref="AC69:AC77" si="26">1-R69/D69</f>
        <v>-5.5097315237655486E-3</v>
      </c>
      <c r="AD69" s="22">
        <f t="shared" ref="AD69:AD77" si="27">1-S69/E69</f>
        <v>-9.9107325347695951E-3</v>
      </c>
    </row>
    <row r="70" spans="2:30">
      <c r="B70" s="8">
        <v>1.2</v>
      </c>
      <c r="C70" s="6">
        <v>3.8964040605883548</v>
      </c>
      <c r="D70" s="6">
        <v>4.4554966825968929</v>
      </c>
      <c r="E70" s="6">
        <v>5.0713806090923175</v>
      </c>
      <c r="O70">
        <v>0.7</v>
      </c>
      <c r="P70" s="8">
        <v>1.2</v>
      </c>
      <c r="Q70" s="11">
        <f t="shared" ref="Q70:Q79" si="28">12.5025*POWER($O70,4.9408)*POWER($P70,-1.8444)*EXP(0.0266*Q$68)</f>
        <v>3.8899456349742212</v>
      </c>
      <c r="R70" s="11">
        <f t="shared" si="23"/>
        <v>4.4432903950565743</v>
      </c>
      <c r="S70" s="11">
        <f t="shared" si="23"/>
        <v>5.0753484463370491</v>
      </c>
      <c r="V70" s="8">
        <v>1.2</v>
      </c>
      <c r="W70" s="11">
        <f t="shared" ref="W70:W79" si="29">C70-Q70</f>
        <v>6.4584256141335672E-3</v>
      </c>
      <c r="X70" s="11">
        <f t="shared" ref="X70:X79" si="30">D70-R70</f>
        <v>1.2206287540318606E-2</v>
      </c>
      <c r="Y70" s="11">
        <f t="shared" ref="Y70:Y79" si="31">E70-S70</f>
        <v>-3.9678372447315979E-3</v>
      </c>
      <c r="AA70" s="8">
        <v>1.2</v>
      </c>
      <c r="AB70" s="22">
        <f t="shared" ref="AB70:AB75" si="32">1-Q70/C70</f>
        <v>1.657534874131672E-3</v>
      </c>
      <c r="AC70" s="22">
        <f t="shared" si="26"/>
        <v>2.7396019815245642E-3</v>
      </c>
      <c r="AD70" s="22">
        <f t="shared" si="27"/>
        <v>-7.8239784204270357E-4</v>
      </c>
    </row>
    <row r="71" spans="2:30">
      <c r="B71" s="8">
        <v>1.4</v>
      </c>
      <c r="C71" s="6">
        <v>2.9421146510140388</v>
      </c>
      <c r="D71" s="6">
        <v>3.3677903678391399</v>
      </c>
      <c r="E71" s="6">
        <v>3.8368910117354535</v>
      </c>
      <c r="O71">
        <v>0.7</v>
      </c>
      <c r="P71" s="8">
        <v>1.4</v>
      </c>
      <c r="Q71" s="11">
        <f t="shared" si="28"/>
        <v>2.927297575012481</v>
      </c>
      <c r="R71" s="11">
        <f t="shared" si="23"/>
        <v>3.3437056501720375</v>
      </c>
      <c r="S71" s="11">
        <f t="shared" si="23"/>
        <v>3.819347773328011</v>
      </c>
      <c r="V71" s="8">
        <v>1.4</v>
      </c>
      <c r="W71" s="11">
        <f t="shared" si="29"/>
        <v>1.4817076001557794E-2</v>
      </c>
      <c r="X71" s="11">
        <f t="shared" si="30"/>
        <v>2.4084717667102407E-2</v>
      </c>
      <c r="Y71" s="11">
        <f t="shared" si="31"/>
        <v>1.7543238407442541E-2</v>
      </c>
      <c r="AA71" s="8">
        <v>1.4</v>
      </c>
      <c r="AB71" s="22">
        <f t="shared" si="32"/>
        <v>5.0361993868767163E-3</v>
      </c>
      <c r="AC71" s="22">
        <f t="shared" si="26"/>
        <v>7.1514895633352227E-3</v>
      </c>
      <c r="AD71" s="22">
        <f t="shared" si="27"/>
        <v>4.5722535130096054E-3</v>
      </c>
    </row>
    <row r="72" spans="2:30">
      <c r="B72" s="8">
        <v>1.5999999999999999</v>
      </c>
      <c r="C72" s="6">
        <v>2.3005121848247012</v>
      </c>
      <c r="D72" s="6">
        <v>2.636310739291261</v>
      </c>
      <c r="E72" s="6">
        <v>3.0065603438638715</v>
      </c>
      <c r="O72">
        <v>0.7</v>
      </c>
      <c r="P72" s="8">
        <v>1.5999999999999999</v>
      </c>
      <c r="Q72" s="11">
        <f t="shared" si="28"/>
        <v>2.2882660961444983</v>
      </c>
      <c r="R72" s="11">
        <f t="shared" si="23"/>
        <v>2.6137719445016954</v>
      </c>
      <c r="S72" s="11">
        <f t="shared" si="23"/>
        <v>2.9855809992443993</v>
      </c>
      <c r="V72" s="8">
        <v>1.5999999999999999</v>
      </c>
      <c r="W72" s="11">
        <f t="shared" si="29"/>
        <v>1.2246088680202938E-2</v>
      </c>
      <c r="X72" s="11">
        <f t="shared" si="30"/>
        <v>2.2538794789565664E-2</v>
      </c>
      <c r="Y72" s="11">
        <f t="shared" si="31"/>
        <v>2.0979344619472151E-2</v>
      </c>
      <c r="AA72" s="8">
        <v>1.5999999999999999</v>
      </c>
      <c r="AB72" s="22">
        <f t="shared" si="32"/>
        <v>5.3232009641087652E-3</v>
      </c>
      <c r="AC72" s="22">
        <f t="shared" si="26"/>
        <v>8.549369561656861E-3</v>
      </c>
      <c r="AD72" s="22">
        <f t="shared" si="27"/>
        <v>6.9778558286013315E-3</v>
      </c>
    </row>
    <row r="73" spans="2:30">
      <c r="B73" s="8">
        <v>1.7999999999999998</v>
      </c>
      <c r="C73" s="6">
        <v>1.8471271914329306</v>
      </c>
      <c r="D73" s="6">
        <v>2.1192569362980027</v>
      </c>
      <c r="E73" s="6">
        <v>2.4195028658235462</v>
      </c>
      <c r="O73">
        <v>0.7</v>
      </c>
      <c r="P73" s="8">
        <v>1.7999999999999998</v>
      </c>
      <c r="Q73" s="11">
        <f t="shared" si="28"/>
        <v>1.8414537414564576</v>
      </c>
      <c r="R73" s="11">
        <f t="shared" si="23"/>
        <v>2.103400533105058</v>
      </c>
      <c r="S73" s="11">
        <f t="shared" si="23"/>
        <v>2.4026092554284544</v>
      </c>
      <c r="V73" s="8">
        <v>1.7999999999999998</v>
      </c>
      <c r="W73" s="11">
        <f t="shared" si="29"/>
        <v>5.6734499764730106E-3</v>
      </c>
      <c r="X73" s="11">
        <f t="shared" si="30"/>
        <v>1.5856403192944679E-2</v>
      </c>
      <c r="Y73" s="11">
        <f t="shared" si="31"/>
        <v>1.6893610395091851E-2</v>
      </c>
      <c r="AA73" s="8">
        <v>1.7999999999999998</v>
      </c>
      <c r="AB73" s="22">
        <f t="shared" si="32"/>
        <v>3.0714993546664404E-3</v>
      </c>
      <c r="AC73" s="22">
        <f t="shared" si="26"/>
        <v>7.482057942744369E-3</v>
      </c>
      <c r="AD73" s="22">
        <f t="shared" si="27"/>
        <v>6.9822650899574734E-3</v>
      </c>
    </row>
    <row r="74" spans="2:30">
      <c r="B74" s="8">
        <v>1.9999999999999998</v>
      </c>
      <c r="C74" s="6">
        <v>1.5142194726219156</v>
      </c>
      <c r="D74" s="6">
        <v>1.7394298816904592</v>
      </c>
      <c r="E74" s="6">
        <v>1.9881160196019165</v>
      </c>
      <c r="O74">
        <v>0.7</v>
      </c>
      <c r="P74" s="8">
        <v>1.9999999999999998</v>
      </c>
      <c r="Q74" s="11">
        <f t="shared" si="28"/>
        <v>1.5162321389797297</v>
      </c>
      <c r="R74" s="11">
        <f t="shared" si="23"/>
        <v>1.7319161582188447</v>
      </c>
      <c r="S74" s="11">
        <f t="shared" si="23"/>
        <v>1.978281228834724</v>
      </c>
      <c r="V74" s="8">
        <v>1.9999999999999998</v>
      </c>
      <c r="W74" s="11">
        <f t="shared" si="29"/>
        <v>-2.0126663578141635E-3</v>
      </c>
      <c r="X74" s="11">
        <f t="shared" si="30"/>
        <v>7.5137234716144974E-3</v>
      </c>
      <c r="Y74" s="11">
        <f t="shared" si="31"/>
        <v>9.8347907671925139E-3</v>
      </c>
      <c r="AA74" s="8">
        <v>1.9999999999999998</v>
      </c>
      <c r="AB74" s="22">
        <f t="shared" si="32"/>
        <v>-1.3291774370918219E-3</v>
      </c>
      <c r="AC74" s="22">
        <f t="shared" si="26"/>
        <v>4.3196472307996947E-3</v>
      </c>
      <c r="AD74" s="22">
        <f t="shared" si="27"/>
        <v>4.9467891562795518E-3</v>
      </c>
    </row>
    <row r="75" spans="2:30">
      <c r="B75" s="8">
        <v>2.1999999999999997</v>
      </c>
      <c r="C75" s="6">
        <v>1.2622251985738393</v>
      </c>
      <c r="D75" s="6">
        <v>1.4517648271418331</v>
      </c>
      <c r="E75" s="6">
        <v>1.6612672522721437</v>
      </c>
      <c r="O75">
        <v>0.7</v>
      </c>
      <c r="P75" s="8">
        <v>2.1999999999999997</v>
      </c>
      <c r="Q75" s="11">
        <f t="shared" si="28"/>
        <v>1.2718064683803141</v>
      </c>
      <c r="R75" s="11">
        <f t="shared" si="23"/>
        <v>1.4527209363846345</v>
      </c>
      <c r="S75" s="11">
        <f t="shared" si="23"/>
        <v>1.6593704871606036</v>
      </c>
      <c r="V75" s="8">
        <v>2.1999999999999997</v>
      </c>
      <c r="W75" s="11">
        <f t="shared" si="29"/>
        <v>-9.5812698064747792E-3</v>
      </c>
      <c r="X75" s="11">
        <f t="shared" si="30"/>
        <v>-9.5610924280142839E-4</v>
      </c>
      <c r="Y75" s="11">
        <f t="shared" si="31"/>
        <v>1.8967651115400219E-3</v>
      </c>
      <c r="AA75" s="8">
        <v>2.1999999999999997</v>
      </c>
      <c r="AB75" s="22">
        <f t="shared" si="32"/>
        <v>-7.590776841803315E-3</v>
      </c>
      <c r="AC75" s="22">
        <f t="shared" si="26"/>
        <v>-6.5858410737495987E-4</v>
      </c>
      <c r="AD75" s="22">
        <f t="shared" si="27"/>
        <v>1.1417579615475848E-3</v>
      </c>
    </row>
    <row r="76" spans="2:30">
      <c r="B76" s="8">
        <v>2.4</v>
      </c>
      <c r="C76" s="6">
        <v>1.0667182434777569</v>
      </c>
      <c r="D76" s="6">
        <v>1.2284095693141903</v>
      </c>
      <c r="E76" s="6">
        <v>1.4073532916786975</v>
      </c>
      <c r="O76">
        <v>0.7</v>
      </c>
      <c r="P76" s="8">
        <v>2.4</v>
      </c>
      <c r="Q76" s="11">
        <f t="shared" si="28"/>
        <v>1.0832378031990604</v>
      </c>
      <c r="R76" s="11">
        <f t="shared" si="23"/>
        <v>1.2373283788960885</v>
      </c>
      <c r="S76" s="11">
        <f t="shared" si="23"/>
        <v>1.413338338728825</v>
      </c>
      <c r="V76" s="8">
        <v>2.4</v>
      </c>
      <c r="W76" s="11">
        <f t="shared" si="29"/>
        <v>-1.6519559721303478E-2</v>
      </c>
      <c r="X76" s="11">
        <f t="shared" si="30"/>
        <v>-8.9188095818981683E-3</v>
      </c>
      <c r="Y76" s="11">
        <f t="shared" si="31"/>
        <v>-5.9850470501274788E-3</v>
      </c>
      <c r="AA76" s="8">
        <v>2.4</v>
      </c>
      <c r="AB76" s="22">
        <f>1-Q76/C76</f>
        <v>-1.5486338423767565E-2</v>
      </c>
      <c r="AC76" s="22">
        <f t="shared" si="26"/>
        <v>-7.2604527062398727E-3</v>
      </c>
      <c r="AD76" s="22">
        <f t="shared" si="27"/>
        <v>-4.2526969493128508E-3</v>
      </c>
    </row>
    <row r="77" spans="2:30">
      <c r="B77" s="8">
        <v>2.6</v>
      </c>
      <c r="C77" s="6">
        <v>0.91192819047869378</v>
      </c>
      <c r="D77" s="6">
        <v>1.0514050568936923</v>
      </c>
      <c r="E77" s="6">
        <v>1.2060188738559996</v>
      </c>
      <c r="O77">
        <v>0.7</v>
      </c>
      <c r="P77" s="8">
        <v>2.6</v>
      </c>
      <c r="Q77" s="11">
        <f t="shared" si="28"/>
        <v>0.93456299132571274</v>
      </c>
      <c r="R77" s="11">
        <f t="shared" si="23"/>
        <v>1.067504575281911</v>
      </c>
      <c r="S77" s="11">
        <f t="shared" si="23"/>
        <v>1.2193570993339846</v>
      </c>
      <c r="V77" s="8">
        <v>2.6</v>
      </c>
      <c r="W77" s="11">
        <f t="shared" si="29"/>
        <v>-2.2634800847018965E-2</v>
      </c>
      <c r="X77" s="11">
        <f t="shared" si="30"/>
        <v>-1.6099518388218659E-2</v>
      </c>
      <c r="Y77" s="11">
        <f t="shared" si="31"/>
        <v>-1.3338225477985022E-2</v>
      </c>
      <c r="AA77" s="8">
        <v>2.6</v>
      </c>
      <c r="AB77" s="22">
        <f t="shared" ref="AB77" si="33">1-Q77/C77</f>
        <v>-2.482081493186139E-2</v>
      </c>
      <c r="AC77" s="22">
        <f t="shared" si="26"/>
        <v>-1.5312384397107248E-2</v>
      </c>
      <c r="AD77" s="22">
        <f t="shared" si="27"/>
        <v>-1.1059715371898537E-2</v>
      </c>
    </row>
    <row r="78" spans="2:30">
      <c r="B78" s="8">
        <v>2.8000000000000003</v>
      </c>
      <c r="C78" s="6">
        <v>0.78730377629162296</v>
      </c>
      <c r="D78" s="6">
        <v>0.90873796420850361</v>
      </c>
      <c r="E78" s="6">
        <v>1.04359204365995</v>
      </c>
      <c r="O78">
        <v>0.7</v>
      </c>
      <c r="P78" s="8">
        <v>2.8000000000000003</v>
      </c>
      <c r="Q78" s="11">
        <f t="shared" si="28"/>
        <v>0.81516804912556817</v>
      </c>
      <c r="R78" s="11">
        <f t="shared" si="23"/>
        <v>0.93112570275307871</v>
      </c>
      <c r="S78" s="11">
        <f t="shared" si="23"/>
        <v>1.0635783324155568</v>
      </c>
      <c r="V78" s="8">
        <v>2.8000000000000003</v>
      </c>
      <c r="W78" s="11">
        <f t="shared" si="29"/>
        <v>-2.7864272833945214E-2</v>
      </c>
      <c r="X78" s="11">
        <f t="shared" si="30"/>
        <v>-2.2387738544575098E-2</v>
      </c>
      <c r="Y78" s="11">
        <f t="shared" si="31"/>
        <v>-1.9986288755606818E-2</v>
      </c>
      <c r="AA78" s="8">
        <v>2.8000000000000003</v>
      </c>
      <c r="AB78" s="22">
        <f>1-Q78/C78</f>
        <v>-3.5392022333732731E-2</v>
      </c>
      <c r="AC78" s="22">
        <f t="shared" ref="AC78:AC79" si="34">1-R78/D78</f>
        <v>-2.4636077094098763E-2</v>
      </c>
      <c r="AD78" s="22">
        <f t="shared" ref="AD78:AD79" si="35">1-S78/E78</f>
        <v>-1.9151438416024735E-2</v>
      </c>
    </row>
    <row r="79" spans="2:30">
      <c r="B79" s="8">
        <f t="shared" ref="B79" si="36">B78+0.2</f>
        <v>3.0000000000000004</v>
      </c>
      <c r="C79" s="6">
        <v>0.68554572704190198</v>
      </c>
      <c r="D79" s="6">
        <v>0.79205043545571163</v>
      </c>
      <c r="E79" s="6">
        <v>0.91061059093432561</v>
      </c>
      <c r="O79">
        <v>0.7</v>
      </c>
      <c r="P79" s="8">
        <f t="shared" ref="P79" si="37">P78+0.2</f>
        <v>3.0000000000000004</v>
      </c>
      <c r="Q79" s="11">
        <f t="shared" si="28"/>
        <v>0.71776616108395908</v>
      </c>
      <c r="R79" s="11">
        <f t="shared" si="23"/>
        <v>0.81986839630012476</v>
      </c>
      <c r="S79" s="11">
        <f t="shared" si="23"/>
        <v>0.93649467430537037</v>
      </c>
      <c r="V79" s="8">
        <f t="shared" ref="V79" si="38">V78+0.2</f>
        <v>3.0000000000000004</v>
      </c>
      <c r="W79" s="11">
        <f t="shared" si="29"/>
        <v>-3.22204340420571E-2</v>
      </c>
      <c r="X79" s="11">
        <f t="shared" si="30"/>
        <v>-2.7817960844413125E-2</v>
      </c>
      <c r="Y79" s="11">
        <f t="shared" si="31"/>
        <v>-2.5884083371044753E-2</v>
      </c>
      <c r="AA79" s="8">
        <f t="shared" ref="AA79" si="39">AA78+0.2</f>
        <v>3.0000000000000004</v>
      </c>
      <c r="AB79" s="22">
        <f t="shared" ref="AB79" si="40">1-Q79/C79</f>
        <v>-4.6999686193197832E-2</v>
      </c>
      <c r="AC79" s="22">
        <f t="shared" si="34"/>
        <v>-3.5121451361121769E-2</v>
      </c>
      <c r="AD79" s="22">
        <f t="shared" si="35"/>
        <v>-2.8424975097738114E-2</v>
      </c>
    </row>
    <row r="82" spans="2:30">
      <c r="B82" s="4"/>
      <c r="P82" s="4"/>
      <c r="V82" s="4"/>
      <c r="AA82" s="4"/>
    </row>
    <row r="83" spans="2:30">
      <c r="B83" s="4"/>
      <c r="P83" s="4"/>
      <c r="V83" s="4"/>
      <c r="AA83" s="4"/>
    </row>
    <row r="84" spans="2:30">
      <c r="B84" s="4"/>
      <c r="P84" s="4"/>
      <c r="V84" s="4"/>
      <c r="AA84" s="4"/>
    </row>
    <row r="85" spans="2:30">
      <c r="B85" s="4"/>
      <c r="P85" s="4"/>
      <c r="V85" s="4"/>
      <c r="AA85" s="4"/>
    </row>
    <row r="86" spans="2:30">
      <c r="B86" s="4"/>
      <c r="P86" s="4"/>
      <c r="V86" s="4"/>
      <c r="AA86" s="4"/>
    </row>
    <row r="87" spans="2:30">
      <c r="B87" s="4"/>
      <c r="P87" s="4"/>
      <c r="V87" s="4"/>
      <c r="AA87" s="4"/>
    </row>
    <row r="88" spans="2:30">
      <c r="B88" s="4"/>
      <c r="P88" s="4"/>
      <c r="V88" s="4"/>
      <c r="AA88" s="4"/>
    </row>
    <row r="96" spans="2:30">
      <c r="B96" s="12" t="s">
        <v>6</v>
      </c>
      <c r="D96" s="13"/>
      <c r="E96" s="13"/>
      <c r="P96" s="12" t="s">
        <v>6</v>
      </c>
      <c r="R96" s="13"/>
      <c r="S96" s="13"/>
      <c r="V96" s="12" t="s">
        <v>6</v>
      </c>
      <c r="X96" s="13"/>
      <c r="Y96" s="13"/>
      <c r="AA96" s="12" t="s">
        <v>6</v>
      </c>
      <c r="AC96" s="13"/>
      <c r="AD96" s="13"/>
    </row>
    <row r="97" spans="2:30">
      <c r="B97" s="10" t="s">
        <v>8</v>
      </c>
      <c r="C97" s="15" t="s">
        <v>4</v>
      </c>
      <c r="D97" s="16"/>
      <c r="E97" s="17"/>
      <c r="P97" s="10" t="s">
        <v>8</v>
      </c>
      <c r="Q97" s="15" t="s">
        <v>4</v>
      </c>
      <c r="R97" s="16"/>
      <c r="S97" s="17"/>
      <c r="V97" s="10" t="s">
        <v>8</v>
      </c>
      <c r="W97" s="15" t="s">
        <v>4</v>
      </c>
      <c r="X97" s="16"/>
      <c r="Y97" s="17"/>
      <c r="AA97" s="10" t="s">
        <v>8</v>
      </c>
      <c r="AB97" s="15" t="s">
        <v>4</v>
      </c>
      <c r="AC97" s="16"/>
      <c r="AD97" s="17"/>
    </row>
    <row r="98" spans="2:30">
      <c r="B98" s="9" t="s">
        <v>9</v>
      </c>
      <c r="C98" s="7" t="s">
        <v>0</v>
      </c>
      <c r="D98" s="7" t="s">
        <v>1</v>
      </c>
      <c r="E98" s="7" t="s">
        <v>2</v>
      </c>
      <c r="P98" s="9" t="s">
        <v>9</v>
      </c>
      <c r="Q98" s="7">
        <v>35</v>
      </c>
      <c r="R98" s="7">
        <v>40</v>
      </c>
      <c r="S98" s="7">
        <v>45</v>
      </c>
      <c r="V98" s="9" t="s">
        <v>9</v>
      </c>
      <c r="W98" s="7" t="s">
        <v>0</v>
      </c>
      <c r="X98" s="7" t="s">
        <v>1</v>
      </c>
      <c r="Y98" s="7" t="s">
        <v>2</v>
      </c>
      <c r="AA98" s="9" t="s">
        <v>9</v>
      </c>
      <c r="AB98" s="7" t="s">
        <v>0</v>
      </c>
      <c r="AC98" s="7" t="s">
        <v>1</v>
      </c>
      <c r="AD98" s="7" t="s">
        <v>2</v>
      </c>
    </row>
    <row r="99" spans="2:30">
      <c r="B99" s="8">
        <v>1.6</v>
      </c>
      <c r="C99" s="6">
        <v>3.2333907349368225</v>
      </c>
      <c r="D99" s="6">
        <v>3.7010822609923633</v>
      </c>
      <c r="E99" s="6">
        <v>4.2164771507346686</v>
      </c>
      <c r="O99">
        <v>0.75</v>
      </c>
      <c r="P99" s="8">
        <v>1.6</v>
      </c>
      <c r="Q99" s="11">
        <f>12.5025*POWER($O99,4.9408)*POWER($P99,-1.8444)*EXP(0.0266*Q$98)</f>
        <v>3.2177242240368491</v>
      </c>
      <c r="R99" s="11">
        <f t="shared" ref="R99:S108" si="41">12.5025*POWER($O99,4.9408)*POWER($P99,-1.8444)*EXP(0.0266*R$98)</f>
        <v>3.6754454895353694</v>
      </c>
      <c r="S99" s="11">
        <f t="shared" si="41"/>
        <v>4.1982776042870684</v>
      </c>
      <c r="V99" s="8">
        <v>1.6</v>
      </c>
      <c r="W99" s="11">
        <f>C99-Q99</f>
        <v>1.5666510899973396E-2</v>
      </c>
      <c r="X99" s="11">
        <f t="shared" ref="X99" si="42">D99-R99</f>
        <v>2.5636771456993834E-2</v>
      </c>
      <c r="Y99" s="11">
        <f t="shared" ref="Y99" si="43">E99-S99</f>
        <v>1.8199546447600135E-2</v>
      </c>
      <c r="AA99" s="8">
        <v>1.6</v>
      </c>
      <c r="AB99" s="22">
        <f>1-Q99/C99</f>
        <v>4.8452266318130821E-3</v>
      </c>
      <c r="AC99" s="22">
        <f t="shared" ref="AC99:AC109" si="44">1-R99/D99</f>
        <v>6.9268310318830739E-3</v>
      </c>
      <c r="AD99" s="22">
        <f t="shared" ref="AD99:AD109" si="45">1-S99/E99</f>
        <v>4.3162919653031429E-3</v>
      </c>
    </row>
    <row r="100" spans="2:30">
      <c r="B100" s="8">
        <v>1.8</v>
      </c>
      <c r="C100" s="6">
        <v>2.6032902267293423</v>
      </c>
      <c r="D100" s="6">
        <v>2.9827355413441157</v>
      </c>
      <c r="E100" s="6">
        <v>3.401073169897872</v>
      </c>
      <c r="O100">
        <v>0.75</v>
      </c>
      <c r="P100" s="8">
        <v>1.8</v>
      </c>
      <c r="Q100" s="11">
        <f t="shared" ref="Q100:Q108" si="46">12.5025*POWER($O100,4.9408)*POWER($P100,-1.8444)*EXP(0.0266*Q$98)</f>
        <v>2.5894236344764545</v>
      </c>
      <c r="R100" s="11">
        <f t="shared" si="41"/>
        <v>2.9577691421587087</v>
      </c>
      <c r="S100" s="11">
        <f t="shared" si="41"/>
        <v>3.3785117976939549</v>
      </c>
      <c r="V100" s="8">
        <v>1.8</v>
      </c>
      <c r="W100" s="11">
        <f t="shared" ref="W100:W108" si="47">C100-Q100</f>
        <v>1.3866592252887777E-2</v>
      </c>
      <c r="X100" s="11">
        <f t="shared" ref="X100:X108" si="48">D100-R100</f>
        <v>2.4966399185406996E-2</v>
      </c>
      <c r="Y100" s="11">
        <f t="shared" ref="Y100:Y108" si="49">E100-S100</f>
        <v>2.2561372203917074E-2</v>
      </c>
      <c r="AA100" s="8">
        <v>1.8</v>
      </c>
      <c r="AB100" s="22">
        <f t="shared" ref="AB100:AB105" si="50">1-Q100/C100</f>
        <v>5.3265640958938265E-3</v>
      </c>
      <c r="AC100" s="22">
        <f t="shared" si="44"/>
        <v>8.3703026431086736E-3</v>
      </c>
      <c r="AD100" s="22">
        <f t="shared" si="45"/>
        <v>6.6336038882087722E-3</v>
      </c>
    </row>
    <row r="101" spans="2:30">
      <c r="B101" s="8">
        <v>2</v>
      </c>
      <c r="C101" s="6">
        <v>2.1402879948819327</v>
      </c>
      <c r="D101" s="6">
        <v>2.4547522738582499</v>
      </c>
      <c r="E101" s="6">
        <v>2.8016370412098697</v>
      </c>
      <c r="O101">
        <v>0.75</v>
      </c>
      <c r="P101" s="8">
        <v>2</v>
      </c>
      <c r="Q101" s="11">
        <f t="shared" si="46"/>
        <v>2.1321020711177803</v>
      </c>
      <c r="R101" s="11">
        <f t="shared" si="41"/>
        <v>2.4353935871755814</v>
      </c>
      <c r="S101" s="11">
        <f t="shared" si="41"/>
        <v>2.7818283208863779</v>
      </c>
      <c r="V101" s="8">
        <v>2</v>
      </c>
      <c r="W101" s="11">
        <f t="shared" si="47"/>
        <v>8.1859237641523919E-3</v>
      </c>
      <c r="X101" s="11">
        <f t="shared" si="48"/>
        <v>1.9358686682668491E-2</v>
      </c>
      <c r="Y101" s="11">
        <f t="shared" si="49"/>
        <v>1.9808720323491791E-2</v>
      </c>
      <c r="AA101" s="8">
        <v>2</v>
      </c>
      <c r="AB101" s="22">
        <f t="shared" si="50"/>
        <v>3.8246833060444629E-3</v>
      </c>
      <c r="AC101" s="22">
        <f t="shared" si="44"/>
        <v>7.8862078625316911E-3</v>
      </c>
      <c r="AD101" s="22">
        <f t="shared" si="45"/>
        <v>7.0704092043762934E-3</v>
      </c>
    </row>
    <row r="102" spans="2:30">
      <c r="B102" s="8">
        <v>2.2000000000000002</v>
      </c>
      <c r="C102" s="6">
        <v>1.7894987112637479</v>
      </c>
      <c r="D102" s="6">
        <v>2.0545922782198573</v>
      </c>
      <c r="E102" s="6">
        <v>2.347212076203705</v>
      </c>
      <c r="O102">
        <v>0.75</v>
      </c>
      <c r="P102" s="8">
        <v>2.2000000000000002</v>
      </c>
      <c r="Q102" s="11">
        <f t="shared" si="46"/>
        <v>1.78839449157126</v>
      </c>
      <c r="R102" s="11">
        <f t="shared" si="41"/>
        <v>2.0427936050122524</v>
      </c>
      <c r="S102" s="11">
        <f t="shared" si="41"/>
        <v>2.3333809919156066</v>
      </c>
      <c r="V102" s="8">
        <v>2.2000000000000002</v>
      </c>
      <c r="W102" s="11">
        <f t="shared" si="47"/>
        <v>1.1042196924879732E-3</v>
      </c>
      <c r="X102" s="11">
        <f t="shared" si="48"/>
        <v>1.1798673207604971E-2</v>
      </c>
      <c r="Y102" s="11">
        <f t="shared" si="49"/>
        <v>1.3831084288098427E-2</v>
      </c>
      <c r="AA102" s="8">
        <v>2.2000000000000002</v>
      </c>
      <c r="AB102" s="22">
        <f t="shared" si="50"/>
        <v>6.1705531584776985E-4</v>
      </c>
      <c r="AC102" s="22">
        <f t="shared" si="44"/>
        <v>5.7425861727795624E-3</v>
      </c>
      <c r="AD102" s="22">
        <f t="shared" si="45"/>
        <v>5.8925584221040106E-3</v>
      </c>
    </row>
    <row r="103" spans="2:30">
      <c r="B103" s="8">
        <v>2.4000000000000004</v>
      </c>
      <c r="C103" s="6">
        <v>1.5170114664003269</v>
      </c>
      <c r="D103" s="6">
        <v>1.7436272433126672</v>
      </c>
      <c r="E103" s="6">
        <v>1.9939687902531358</v>
      </c>
      <c r="O103">
        <v>0.75</v>
      </c>
      <c r="P103" s="8">
        <v>2.4000000000000004</v>
      </c>
      <c r="Q103" s="11">
        <f t="shared" si="46"/>
        <v>1.5232321650086507</v>
      </c>
      <c r="R103" s="11">
        <f t="shared" si="41"/>
        <v>1.7399119379386958</v>
      </c>
      <c r="S103" s="11">
        <f t="shared" si="41"/>
        <v>1.987414408206378</v>
      </c>
      <c r="V103" s="8">
        <v>2.4000000000000004</v>
      </c>
      <c r="W103" s="11">
        <f t="shared" si="47"/>
        <v>-6.2206986083237492E-3</v>
      </c>
      <c r="X103" s="11">
        <f t="shared" si="48"/>
        <v>3.715305373971356E-3</v>
      </c>
      <c r="Y103" s="11">
        <f t="shared" si="49"/>
        <v>6.5543820467577341E-3</v>
      </c>
      <c r="AA103" s="8">
        <v>2.4000000000000004</v>
      </c>
      <c r="AB103" s="22">
        <f t="shared" si="50"/>
        <v>-4.1006272833814528E-3</v>
      </c>
      <c r="AC103" s="22">
        <f t="shared" si="44"/>
        <v>2.1307910783229245E-3</v>
      </c>
      <c r="AD103" s="22">
        <f t="shared" si="45"/>
        <v>3.2871036291022282E-3</v>
      </c>
    </row>
    <row r="104" spans="2:30">
      <c r="B104" s="8">
        <v>2.6000000000000005</v>
      </c>
      <c r="C104" s="6">
        <v>1.3009840805189563</v>
      </c>
      <c r="D104" s="6">
        <v>1.4969556911706321</v>
      </c>
      <c r="E104" s="6">
        <v>1.7136439018997276</v>
      </c>
      <c r="O104">
        <v>0.75</v>
      </c>
      <c r="P104" s="8">
        <v>2.6000000000000005</v>
      </c>
      <c r="Q104" s="11">
        <f t="shared" si="46"/>
        <v>1.3141679550048229</v>
      </c>
      <c r="R104" s="11">
        <f t="shared" si="41"/>
        <v>1.501108344410774</v>
      </c>
      <c r="S104" s="11">
        <f t="shared" si="41"/>
        <v>1.7146410038976976</v>
      </c>
      <c r="V104" s="8">
        <v>2.6000000000000005</v>
      </c>
      <c r="W104" s="11">
        <f t="shared" si="47"/>
        <v>-1.3183874485866554E-2</v>
      </c>
      <c r="X104" s="11">
        <f t="shared" si="48"/>
        <v>-4.1526532401419125E-3</v>
      </c>
      <c r="Y104" s="11">
        <f t="shared" si="49"/>
        <v>-9.9710199796998467E-4</v>
      </c>
      <c r="AA104" s="8">
        <v>2.6000000000000005</v>
      </c>
      <c r="AB104" s="22">
        <f t="shared" si="50"/>
        <v>-1.0133770799568564E-2</v>
      </c>
      <c r="AC104" s="22">
        <f t="shared" si="44"/>
        <v>-2.7740655682964022E-3</v>
      </c>
      <c r="AD104" s="22">
        <f t="shared" si="45"/>
        <v>-5.8186067529231167E-4</v>
      </c>
    </row>
    <row r="105" spans="2:30">
      <c r="B105" s="8">
        <v>2.8000000000000007</v>
      </c>
      <c r="C105" s="6">
        <v>1.1267193489497573</v>
      </c>
      <c r="D105" s="6">
        <v>1.2978330912926772</v>
      </c>
      <c r="E105" s="6">
        <v>1.487245864489132</v>
      </c>
      <c r="O105">
        <v>0.75</v>
      </c>
      <c r="P105" s="8">
        <v>2.8000000000000007</v>
      </c>
      <c r="Q105" s="11">
        <f t="shared" si="46"/>
        <v>1.1462766427172402</v>
      </c>
      <c r="R105" s="11">
        <f t="shared" si="41"/>
        <v>1.3093344932305107</v>
      </c>
      <c r="S105" s="11">
        <f t="shared" si="41"/>
        <v>1.495587322707133</v>
      </c>
      <c r="V105" s="8">
        <v>2.8000000000000007</v>
      </c>
      <c r="W105" s="11">
        <f t="shared" si="47"/>
        <v>-1.9557293767482831E-2</v>
      </c>
      <c r="X105" s="11">
        <f t="shared" si="48"/>
        <v>-1.1501401937833444E-2</v>
      </c>
      <c r="Y105" s="11">
        <f t="shared" si="49"/>
        <v>-8.3414582180010299E-3</v>
      </c>
      <c r="AA105" s="8">
        <v>2.8000000000000007</v>
      </c>
      <c r="AB105" s="22">
        <f t="shared" si="50"/>
        <v>-1.7357733126454944E-2</v>
      </c>
      <c r="AC105" s="22">
        <f t="shared" si="44"/>
        <v>-8.8620039163724851E-3</v>
      </c>
      <c r="AD105" s="22">
        <f t="shared" si="45"/>
        <v>-5.6086612288992477E-3</v>
      </c>
    </row>
    <row r="106" spans="2:30">
      <c r="B106" s="8">
        <v>3.0000000000000009</v>
      </c>
      <c r="C106" s="6">
        <v>0.98407688026385398</v>
      </c>
      <c r="D106" s="6">
        <v>1.1347022943887299</v>
      </c>
      <c r="E106" s="6">
        <v>1.3016620653186171</v>
      </c>
      <c r="O106">
        <v>0.75</v>
      </c>
      <c r="P106" s="8">
        <v>3.0000000000000009</v>
      </c>
      <c r="Q106" s="11">
        <f t="shared" si="46"/>
        <v>1.0093116214085385</v>
      </c>
      <c r="R106" s="11">
        <f t="shared" si="41"/>
        <v>1.1528861978692553</v>
      </c>
      <c r="S106" s="11">
        <f t="shared" si="41"/>
        <v>1.3168842575918678</v>
      </c>
      <c r="V106" s="8">
        <v>3.0000000000000009</v>
      </c>
      <c r="W106" s="11">
        <f t="shared" si="47"/>
        <v>-2.5234741144684492E-2</v>
      </c>
      <c r="X106" s="11">
        <f t="shared" si="48"/>
        <v>-1.8183903480525343E-2</v>
      </c>
      <c r="Y106" s="11">
        <f t="shared" si="49"/>
        <v>-1.5222192273250723E-2</v>
      </c>
      <c r="AA106" s="8">
        <v>3.0000000000000009</v>
      </c>
      <c r="AB106" s="22">
        <f>1-Q106/C106</f>
        <v>-2.5643058637774718E-2</v>
      </c>
      <c r="AC106" s="22">
        <f t="shared" si="44"/>
        <v>-1.6025263692906355E-2</v>
      </c>
      <c r="AD106" s="22">
        <f t="shared" si="45"/>
        <v>-1.1694427208743141E-2</v>
      </c>
    </row>
    <row r="107" spans="2:30">
      <c r="B107" s="8">
        <v>3.2000000000000011</v>
      </c>
      <c r="C107" s="6">
        <v>0.86588149096593747</v>
      </c>
      <c r="D107" s="6">
        <v>0.99935519424835895</v>
      </c>
      <c r="E107" s="6">
        <v>1.1475716623355052</v>
      </c>
      <c r="O107">
        <v>0.75</v>
      </c>
      <c r="P107" s="8">
        <v>3.2000000000000011</v>
      </c>
      <c r="Q107" s="11">
        <f t="shared" si="46"/>
        <v>0.8960435046720584</v>
      </c>
      <c r="R107" s="11">
        <f t="shared" si="41"/>
        <v>1.0235056917160674</v>
      </c>
      <c r="S107" s="11">
        <f t="shared" si="41"/>
        <v>1.1690993746543386</v>
      </c>
      <c r="V107" s="8">
        <v>3.2000000000000011</v>
      </c>
      <c r="W107" s="11">
        <f t="shared" si="47"/>
        <v>-3.0162013706120927E-2</v>
      </c>
      <c r="X107" s="11">
        <f t="shared" si="48"/>
        <v>-2.4150497467708476E-2</v>
      </c>
      <c r="Y107" s="11">
        <f t="shared" si="49"/>
        <v>-2.1527712318833325E-2</v>
      </c>
      <c r="AA107" s="8">
        <v>3.2000000000000011</v>
      </c>
      <c r="AB107" s="22">
        <f t="shared" ref="AB107" si="51">1-Q107/C107</f>
        <v>-3.4833882027520469E-2</v>
      </c>
      <c r="AC107" s="22">
        <f t="shared" si="44"/>
        <v>-2.4166079895019399E-2</v>
      </c>
      <c r="AD107" s="22">
        <f t="shared" si="45"/>
        <v>-1.8759362073319963E-2</v>
      </c>
    </row>
    <row r="108" spans="2:30">
      <c r="B108" s="8">
        <v>3.4000000000000012</v>
      </c>
      <c r="C108" s="6">
        <v>0.7668655112784647</v>
      </c>
      <c r="D108" s="6">
        <v>0.88585528614484388</v>
      </c>
      <c r="E108" s="6">
        <v>1.0182160554232542</v>
      </c>
      <c r="O108">
        <v>0.75</v>
      </c>
      <c r="P108" s="8">
        <v>3.4000000000000012</v>
      </c>
      <c r="Q108" s="11">
        <f t="shared" si="46"/>
        <v>0.80124992420543062</v>
      </c>
      <c r="R108" s="11">
        <f t="shared" si="41"/>
        <v>0.91522772458628232</v>
      </c>
      <c r="S108" s="11">
        <f t="shared" si="41"/>
        <v>1.0454188668810691</v>
      </c>
      <c r="V108" s="8">
        <v>3.4000000000000012</v>
      </c>
      <c r="W108" s="11">
        <f t="shared" si="47"/>
        <v>-3.4384412926965924E-2</v>
      </c>
      <c r="X108" s="11">
        <f t="shared" si="48"/>
        <v>-2.9372438441438442E-2</v>
      </c>
      <c r="Y108" s="11">
        <f t="shared" si="49"/>
        <v>-2.7202811457814891E-2</v>
      </c>
      <c r="AA108" s="8">
        <v>3.4000000000000012</v>
      </c>
      <c r="AB108" s="22">
        <f>1-Q108/C108</f>
        <v>-4.483760505755785E-2</v>
      </c>
      <c r="AC108" s="22">
        <f t="shared" si="44"/>
        <v>-3.3157152077586405E-2</v>
      </c>
      <c r="AD108" s="22">
        <f t="shared" si="45"/>
        <v>-2.6716148613966872E-2</v>
      </c>
    </row>
  </sheetData>
  <mergeCells count="12">
    <mergeCell ref="V6:Y6"/>
    <mergeCell ref="W7:Y7"/>
    <mergeCell ref="W36:Y36"/>
    <mergeCell ref="AA6:AD6"/>
    <mergeCell ref="AB7:AD7"/>
    <mergeCell ref="AB36:AD36"/>
    <mergeCell ref="C7:E7"/>
    <mergeCell ref="B6:E6"/>
    <mergeCell ref="C36:E36"/>
    <mergeCell ref="P6:S6"/>
    <mergeCell ref="Q7:S7"/>
    <mergeCell ref="Q36:S36"/>
  </mergeCells>
  <phoneticPr fontId="1"/>
  <pageMargins left="0.51181102362204722" right="0.31496062992125984" top="0.55118110236220474" bottom="0.35433070866141736" header="0.31496062992125984" footer="0.11811023622047245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2026-07-09T08:46:33Z</dcterms:modified>
</cp:coreProperties>
</file>