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F6DFBAC1-3F14-496C-9B78-5C03D29260E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Volumetric efficiency" sheetId="14" r:id="rId2"/>
    <sheet name="Cooling capacity" sheetId="15" r:id="rId3"/>
    <sheet name="Input" sheetId="16" r:id="rId4"/>
    <sheet name="入力Ｗ" sheetId="4" r:id="rId5"/>
    <sheet name="冷凍能力" sheetId="5" r:id="rId6"/>
    <sheet name="COP" sheetId="12" r:id="rId7"/>
    <sheet name="冷蔵庫条件冷凍能力" sheetId="6" r:id="rId8"/>
    <sheet name="冷蔵庫条件COP" sheetId="10" r:id="rId9"/>
    <sheet name="冷蔵庫条件ＣＯＰ　比較" sheetId="17" r:id="rId10"/>
    <sheet name="Module1" sheetId="2" state="veryHidden" r:id=""/>
    <sheet name="Module2" sheetId="3" state="veryHidden" r:id=""/>
    <sheet name="Sheet1" sheetId="18" r:id="rId11"/>
  </sheets>
  <definedNames>
    <definedName name="_xlnm.Print_Titles" localSheetId="0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2" i="1" l="1"/>
  <c r="U31" i="1"/>
  <c r="U30" i="1"/>
  <c r="U29" i="1"/>
  <c r="U28" i="1"/>
  <c r="U27" i="1"/>
  <c r="U26" i="1"/>
  <c r="T26" i="1"/>
  <c r="S26" i="1"/>
  <c r="T14" i="1"/>
  <c r="U14" i="1"/>
  <c r="T15" i="1"/>
  <c r="U15" i="1"/>
  <c r="T16" i="1"/>
  <c r="U16" i="1"/>
  <c r="T17" i="1"/>
  <c r="U17" i="1"/>
  <c r="T18" i="1"/>
  <c r="U18" i="1"/>
  <c r="T19" i="1"/>
  <c r="U19" i="1"/>
  <c r="S15" i="1"/>
  <c r="S16" i="1"/>
  <c r="S17" i="1"/>
  <c r="S18" i="1"/>
  <c r="S19" i="1"/>
  <c r="S14" i="1"/>
  <c r="R15" i="1"/>
  <c r="R16" i="1"/>
  <c r="R17" i="1"/>
  <c r="R18" i="1"/>
  <c r="R19" i="1"/>
  <c r="R14" i="1"/>
  <c r="T13" i="1"/>
  <c r="U13" i="1"/>
  <c r="S13" i="1"/>
  <c r="G15" i="1" l="1"/>
  <c r="G16" i="1"/>
  <c r="G17" i="1"/>
  <c r="G18" i="1"/>
  <c r="G19" i="1"/>
  <c r="G14" i="1"/>
  <c r="C105" i="1"/>
  <c r="D105" i="1"/>
  <c r="C106" i="1"/>
  <c r="D106" i="1"/>
  <c r="C107" i="1"/>
  <c r="D107" i="1"/>
  <c r="C108" i="1"/>
  <c r="D108" i="1"/>
  <c r="C109" i="1"/>
  <c r="D109" i="1"/>
  <c r="E105" i="1"/>
  <c r="E106" i="1"/>
  <c r="E107" i="1"/>
  <c r="E108" i="1"/>
  <c r="E109" i="1"/>
  <c r="G105" i="1"/>
  <c r="H105" i="1"/>
  <c r="G106" i="1"/>
  <c r="H106" i="1"/>
  <c r="G107" i="1"/>
  <c r="H107" i="1"/>
  <c r="G108" i="1"/>
  <c r="H108" i="1"/>
  <c r="G109" i="1"/>
  <c r="H109" i="1"/>
  <c r="F106" i="1"/>
  <c r="F107" i="1"/>
  <c r="F108" i="1"/>
  <c r="F109" i="1"/>
  <c r="F105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M105" i="1"/>
  <c r="N105" i="1"/>
  <c r="M106" i="1"/>
  <c r="N106" i="1"/>
  <c r="M107" i="1"/>
  <c r="N107" i="1"/>
  <c r="M108" i="1"/>
  <c r="N108" i="1"/>
  <c r="M109" i="1"/>
  <c r="N109" i="1"/>
  <c r="L106" i="1"/>
  <c r="L107" i="1"/>
  <c r="L108" i="1"/>
  <c r="L109" i="1"/>
  <c r="L105" i="1"/>
  <c r="R8" i="1" l="1"/>
  <c r="R7" i="1"/>
  <c r="R6" i="1"/>
  <c r="R5" i="1"/>
  <c r="R4" i="1"/>
  <c r="O6" i="1"/>
  <c r="O5" i="1"/>
  <c r="O4" i="1"/>
  <c r="E72" i="1" l="1"/>
  <c r="G72" i="1" s="1"/>
  <c r="D72" i="1"/>
  <c r="F72" i="1" s="1"/>
  <c r="H72" i="1"/>
  <c r="J60" i="1"/>
  <c r="Q60" i="1" s="1"/>
  <c r="K60" i="1"/>
  <c r="R60" i="1" s="1"/>
  <c r="L60" i="1"/>
  <c r="S60" i="1" s="1"/>
  <c r="M60" i="1"/>
  <c r="T60" i="1" s="1"/>
  <c r="N60" i="1"/>
  <c r="U60" i="1" s="1"/>
  <c r="K61" i="1"/>
  <c r="R61" i="1" s="1"/>
  <c r="L61" i="1"/>
  <c r="S61" i="1" s="1"/>
  <c r="M61" i="1"/>
  <c r="T61" i="1" s="1"/>
  <c r="N61" i="1"/>
  <c r="U61" i="1" s="1"/>
  <c r="K62" i="1"/>
  <c r="R62" i="1" s="1"/>
  <c r="L62" i="1"/>
  <c r="S62" i="1" s="1"/>
  <c r="M62" i="1"/>
  <c r="T62" i="1" s="1"/>
  <c r="N62" i="1"/>
  <c r="U62" i="1" s="1"/>
  <c r="K63" i="1"/>
  <c r="R63" i="1" s="1"/>
  <c r="L63" i="1"/>
  <c r="S63" i="1" s="1"/>
  <c r="M63" i="1"/>
  <c r="T63" i="1" s="1"/>
  <c r="N63" i="1"/>
  <c r="U63" i="1" s="1"/>
  <c r="K64" i="1"/>
  <c r="R64" i="1" s="1"/>
  <c r="L64" i="1"/>
  <c r="S64" i="1" s="1"/>
  <c r="M64" i="1"/>
  <c r="T64" i="1" s="1"/>
  <c r="N64" i="1"/>
  <c r="U64" i="1" s="1"/>
  <c r="K65" i="1"/>
  <c r="R65" i="1" s="1"/>
  <c r="L65" i="1"/>
  <c r="S65" i="1" s="1"/>
  <c r="M65" i="1"/>
  <c r="T65" i="1" s="1"/>
  <c r="N65" i="1"/>
  <c r="U65" i="1" s="1"/>
  <c r="K66" i="1"/>
  <c r="R66" i="1" s="1"/>
  <c r="L66" i="1"/>
  <c r="S66" i="1" s="1"/>
  <c r="M66" i="1"/>
  <c r="T66" i="1" s="1"/>
  <c r="N66" i="1"/>
  <c r="U66" i="1" s="1"/>
  <c r="K67" i="1"/>
  <c r="R67" i="1" s="1"/>
  <c r="L67" i="1"/>
  <c r="S67" i="1" s="1"/>
  <c r="M67" i="1"/>
  <c r="T67" i="1" s="1"/>
  <c r="N67" i="1"/>
  <c r="U67" i="1" s="1"/>
  <c r="J61" i="1"/>
  <c r="Q61" i="1" s="1"/>
  <c r="J62" i="1"/>
  <c r="Q62" i="1" s="1"/>
  <c r="J63" i="1"/>
  <c r="Q63" i="1" s="1"/>
  <c r="J64" i="1"/>
  <c r="Q64" i="1" s="1"/>
  <c r="J65" i="1"/>
  <c r="Q65" i="1" s="1"/>
  <c r="J66" i="1"/>
  <c r="Q66" i="1" s="1"/>
  <c r="J67" i="1"/>
  <c r="Q67" i="1" s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K5" i="1"/>
  <c r="J13" i="1"/>
  <c r="I13" i="1"/>
  <c r="H13" i="1"/>
  <c r="I7" i="1"/>
  <c r="T73" i="1" l="1"/>
  <c r="R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U74" i="1"/>
  <c r="U76" i="1"/>
  <c r="U78" i="1"/>
  <c r="U80" i="1"/>
  <c r="R74" i="1"/>
  <c r="T74" i="1"/>
  <c r="R75" i="1"/>
  <c r="T75" i="1"/>
  <c r="R76" i="1"/>
  <c r="T76" i="1"/>
  <c r="R77" i="1"/>
  <c r="T77" i="1"/>
  <c r="R78" i="1"/>
  <c r="T78" i="1"/>
  <c r="R79" i="1"/>
  <c r="T79" i="1"/>
  <c r="R80" i="1"/>
  <c r="T80" i="1"/>
  <c r="U75" i="1"/>
  <c r="U77" i="1"/>
  <c r="U79" i="1"/>
  <c r="U73" i="1"/>
  <c r="S73" i="1"/>
  <c r="Q73" i="1"/>
</calcChain>
</file>

<file path=xl/sharedStrings.xml><?xml version="1.0" encoding="utf-8"?>
<sst xmlns="http://schemas.openxmlformats.org/spreadsheetml/2006/main" count="124" uniqueCount="75">
  <si>
    <t>(kcal/h)</t>
  </si>
  <si>
    <t>(CC)</t>
  </si>
  <si>
    <t>(  W  )</t>
  </si>
  <si>
    <t>(rpm)</t>
  </si>
  <si>
    <t>C.O P.</t>
  </si>
  <si>
    <t>度</t>
  </si>
  <si>
    <t>蒸</t>
    <rPh sb="0" eb="1">
      <t>ジョウハツ</t>
    </rPh>
    <phoneticPr fontId="2"/>
  </si>
  <si>
    <t>発</t>
    <phoneticPr fontId="2"/>
  </si>
  <si>
    <t>温</t>
    <phoneticPr fontId="2"/>
  </si>
  <si>
    <t>℃</t>
    <phoneticPr fontId="2"/>
  </si>
  <si>
    <t>凝縮温度  ℃</t>
    <rPh sb="0" eb="2">
      <t>ギョウシュク</t>
    </rPh>
    <rPh sb="2" eb="4">
      <t>オンド</t>
    </rPh>
    <phoneticPr fontId="2"/>
  </si>
  <si>
    <t>冷凍能力  Ｑ(kcal/hr) 計算値</t>
    <rPh sb="17" eb="19">
      <t>ケイサン</t>
    </rPh>
    <rPh sb="19" eb="20">
      <t>チ</t>
    </rPh>
    <phoneticPr fontId="2"/>
  </si>
  <si>
    <t>入力 W 計算値</t>
    <rPh sb="0" eb="2">
      <t>ニュウリョク</t>
    </rPh>
    <rPh sb="5" eb="8">
      <t>ケイサンチ</t>
    </rPh>
    <phoneticPr fontId="2"/>
  </si>
  <si>
    <t>体積効率　計算値</t>
    <rPh sb="0" eb="2">
      <t>タイセキ</t>
    </rPh>
    <rPh sb="2" eb="4">
      <t>コウリツ</t>
    </rPh>
    <rPh sb="5" eb="7">
      <t>ケイサン</t>
    </rPh>
    <rPh sb="7" eb="8">
      <t>チ</t>
    </rPh>
    <phoneticPr fontId="2"/>
  </si>
  <si>
    <t>体積効率　測定値</t>
    <rPh sb="0" eb="2">
      <t>タイセキ</t>
    </rPh>
    <rPh sb="2" eb="4">
      <t>コウリツ</t>
    </rPh>
    <rPh sb="5" eb="8">
      <t>ソクテイチ</t>
    </rPh>
    <phoneticPr fontId="2"/>
  </si>
  <si>
    <t>入力  Ｗ</t>
    <phoneticPr fontId="2"/>
  </si>
  <si>
    <t>PC</t>
    <phoneticPr fontId="2"/>
  </si>
  <si>
    <t>PE</t>
    <phoneticPr fontId="2"/>
  </si>
  <si>
    <t>COP</t>
    <phoneticPr fontId="2"/>
  </si>
  <si>
    <t>W</t>
    <phoneticPr fontId="2"/>
  </si>
  <si>
    <t>計算結果</t>
    <rPh sb="0" eb="2">
      <t>ケイサン</t>
    </rPh>
    <rPh sb="2" eb="4">
      <t>ケッカ</t>
    </rPh>
    <phoneticPr fontId="2"/>
  </si>
  <si>
    <t>Y</t>
    <phoneticPr fontId="2"/>
  </si>
  <si>
    <t>コンプ測定条件</t>
    <rPh sb="3" eb="5">
      <t>ソクテイ</t>
    </rPh>
    <rPh sb="5" eb="7">
      <t>ジョウケン</t>
    </rPh>
    <phoneticPr fontId="2"/>
  </si>
  <si>
    <t>有効冷凍能力に対する　COP</t>
    <rPh sb="0" eb="2">
      <t>ユウコウ</t>
    </rPh>
    <rPh sb="2" eb="4">
      <t>レイトウ</t>
    </rPh>
    <rPh sb="4" eb="6">
      <t>ノウリョク</t>
    </rPh>
    <rPh sb="7" eb="8">
      <t>タイ</t>
    </rPh>
    <phoneticPr fontId="2"/>
  </si>
  <si>
    <t>有効冷凍能力の　COP比</t>
    <rPh sb="0" eb="2">
      <t>ユウコウ</t>
    </rPh>
    <rPh sb="2" eb="4">
      <t>レイトウ</t>
    </rPh>
    <rPh sb="4" eb="6">
      <t>ノウリョク</t>
    </rPh>
    <rPh sb="11" eb="12">
      <t>ヒ</t>
    </rPh>
    <phoneticPr fontId="2"/>
  </si>
  <si>
    <t>有効冷凍能力  Ｑ(kcal/hr) 計算値</t>
    <rPh sb="0" eb="2">
      <t>ユウコウ</t>
    </rPh>
    <rPh sb="19" eb="21">
      <t>ケイサン</t>
    </rPh>
    <rPh sb="21" eb="22">
      <t>チ</t>
    </rPh>
    <phoneticPr fontId="2"/>
  </si>
  <si>
    <t>SQ47LAEG 220V 50Hz</t>
    <phoneticPr fontId="2"/>
  </si>
  <si>
    <t>A</t>
    <phoneticPr fontId="2"/>
  </si>
  <si>
    <t>B</t>
    <phoneticPr fontId="2"/>
  </si>
  <si>
    <t>C</t>
    <phoneticPr fontId="2"/>
  </si>
  <si>
    <t>AW</t>
    <phoneticPr fontId="2"/>
  </si>
  <si>
    <t>BW</t>
    <phoneticPr fontId="2"/>
  </si>
  <si>
    <t>CW</t>
    <phoneticPr fontId="2"/>
  </si>
  <si>
    <t>EW</t>
    <phoneticPr fontId="2"/>
  </si>
  <si>
    <t>DW</t>
    <phoneticPr fontId="2"/>
  </si>
  <si>
    <t>ηv=A+B*PC/PE+C*PC</t>
    <phoneticPr fontId="2"/>
  </si>
  <si>
    <t>W=AW+BW*TE+CW*TC+DW*TC*TE+EW*TE^2</t>
    <phoneticPr fontId="2"/>
  </si>
  <si>
    <t>入力　近似式とデーターの比較</t>
    <rPh sb="0" eb="2">
      <t>ニュウリョク</t>
    </rPh>
    <rPh sb="3" eb="6">
      <t>キンジシキ</t>
    </rPh>
    <rPh sb="12" eb="14">
      <t>ヒカク</t>
    </rPh>
    <phoneticPr fontId="2"/>
  </si>
  <si>
    <t>冷凍能力　近似式とデーターの比較</t>
    <rPh sb="0" eb="2">
      <t>レイトウ</t>
    </rPh>
    <rPh sb="2" eb="4">
      <t>ノウリョク</t>
    </rPh>
    <rPh sb="5" eb="8">
      <t>キンジシキ</t>
    </rPh>
    <rPh sb="14" eb="16">
      <t>ヒカク</t>
    </rPh>
    <phoneticPr fontId="2"/>
  </si>
  <si>
    <t>データー</t>
    <phoneticPr fontId="2"/>
  </si>
  <si>
    <t>データー</t>
    <phoneticPr fontId="2"/>
  </si>
  <si>
    <t>Input  （Ｗ）</t>
    <phoneticPr fontId="2"/>
  </si>
  <si>
    <t>Cooling Capacity Ｑ(kcal/hr)</t>
    <phoneticPr fontId="2"/>
  </si>
  <si>
    <t>Cylinder volume</t>
    <phoneticPr fontId="2"/>
  </si>
  <si>
    <t xml:space="preserve">Speed </t>
    <phoneticPr fontId="2"/>
  </si>
  <si>
    <t>Data quantity of Cond.</t>
    <phoneticPr fontId="2"/>
  </si>
  <si>
    <t>Data quantity of  Evap..</t>
    <phoneticPr fontId="2"/>
  </si>
  <si>
    <t>Total data quantity</t>
    <phoneticPr fontId="2"/>
  </si>
  <si>
    <t>Cooling Capacity</t>
    <phoneticPr fontId="2"/>
  </si>
  <si>
    <t>Rated</t>
    <phoneticPr fontId="2"/>
  </si>
  <si>
    <t>Input</t>
    <phoneticPr fontId="2"/>
  </si>
  <si>
    <t>Volumetric efficiency</t>
    <phoneticPr fontId="2"/>
  </si>
  <si>
    <t>Input</t>
    <phoneticPr fontId="2"/>
  </si>
  <si>
    <t xml:space="preserve">Volumetric efficiency ＥＴＶ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</si>
  <si>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</si>
  <si>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</si>
  <si>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</si>
  <si>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</si>
  <si>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>Evap. Temp.</t>
    <phoneticPr fontId="2"/>
  </si>
  <si>
    <t>Refrigerant　R-134a=1, R-600a=2</t>
    <phoneticPr fontId="2"/>
  </si>
  <si>
    <t>pcs</t>
    <phoneticPr fontId="2"/>
  </si>
  <si>
    <t>COP</t>
    <phoneticPr fontId="2"/>
  </si>
  <si>
    <t>Calculation by the formula</t>
    <phoneticPr fontId="2"/>
  </si>
  <si>
    <t>Calculation of compressor performance formula data.</t>
  </si>
  <si>
    <t>Compressor name</t>
  </si>
  <si>
    <t>After input the yellow marked data press Calculate</t>
  </si>
  <si>
    <t>R-600a</t>
  </si>
  <si>
    <t>ƒÅv=</t>
  </si>
  <si>
    <t>* PC/PE +</t>
  </si>
  <si>
    <t>* PC</t>
  </si>
  <si>
    <t>W=</t>
  </si>
  <si>
    <t>*TE+</t>
  </si>
  <si>
    <t>*TC+</t>
  </si>
  <si>
    <t>*TC*TE+</t>
  </si>
  <si>
    <t>*TE^2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</si>
</sst>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000"/>
    <numFmt numFmtId="165" formatCode="0.00000"/>
    <numFmt numFmtId="166" formatCode="0.000"/>
    <numFmt numFmtId="167" formatCode="0.0"/>
    <numFmt numFmtId="168" formatCode="###"/>
    <numFmt numFmtId="169" formatCode="#,###.#"/>
    <numFmt numFmtId="170" formatCode="###.0"/>
    <numFmt numFmtId="171" formatCode="#,###.0"/>
    <numFmt numFmtId="172" formatCode="0.0_ "/>
    <numFmt numFmtId="173" formatCode="0.0_);[Red]\(0.0\)"/>
    <numFmt numFmtId="174" formatCode="0_ "/>
    <numFmt numFmtId="175" formatCode="0.0000&quot;+&quot;"/>
    <numFmt numFmtId="176" formatCode="000.00&quot;+&quot;"/>
    <numFmt numFmtId="177" formatCode="0.00&quot;+&quot;"/>
    <numFmt numFmtId="178" formatCode="0.000_ "/>
    <numFmt numFmtId="179" formatCode="0.0%"/>
    <numFmt numFmtId="180" formatCode="0.000000_ "/>
    <numFmt numFmtId="181" formatCode="0.00000_ "/>
    <numFmt numFmtId="182" formatCode="0.00_ "/>
    <numFmt numFmtId="183" formatCode="0.0000_ "/>
    <numFmt numFmtId="184" formatCode="#,##0.0_ "/>
  </numFmts>
  <fonts count="17">
    <font>
      <sz val="11"/>
      <name val="明朝"/>
      <family val="3"/>
      <charset val="128"/>
    </font>
    <font>
      <sz val="11"/>
      <name val="明朝"/>
      <family val="3"/>
      <charset val="128"/>
    </font>
    <font>
      <sz val="6"/>
      <name val="ＭＳ Ｐ明朝"/>
      <family val="1"/>
      <charset val="128"/>
    </font>
    <font>
      <sz val="6"/>
      <name val="明朝"/>
      <family val="3"/>
      <charset val="128"/>
    </font>
    <font>
      <sz val="11"/>
      <color rgb="FF000000"/>
      <name val="ＭＳ Ｐゴシック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宋体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5" fillId="0" borderId="0">
      <alignment vertical="center"/>
    </xf>
  </cellStyleXfs>
  <cellXfs count="223">
    <xf numFmtId="0" fontId="0" fillId="0" borderId="0" xfId="0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2" xfId="0" applyFont="1" applyBorder="1" applyAlignment="1">
      <alignment horizontal="centerContinuous"/>
    </xf>
    <xf numFmtId="0" fontId="5" fillId="0" borderId="1" xfId="0" applyFont="1" applyBorder="1" applyAlignment="1">
      <alignment horizontal="centerContinuous"/>
    </xf>
    <xf numFmtId="0" fontId="9" fillId="2" borderId="0" xfId="0" applyFont="1" applyFill="1" applyAlignment="1">
      <alignment horizontal="center"/>
    </xf>
    <xf numFmtId="0" fontId="5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8" fillId="3" borderId="6" xfId="0" applyFont="1" applyFill="1" applyBorder="1" applyAlignment="1">
      <alignment horizontal="right"/>
    </xf>
    <xf numFmtId="0" fontId="5" fillId="0" borderId="6" xfId="0" applyFont="1" applyBorder="1" applyAlignment="1">
      <alignment horizontal="centerContinuous"/>
    </xf>
    <xf numFmtId="0" fontId="5" fillId="0" borderId="10" xfId="0" applyFont="1" applyBorder="1" applyAlignment="1">
      <alignment horizontal="center" vertical="center"/>
    </xf>
    <xf numFmtId="183" fontId="5" fillId="0" borderId="10" xfId="0" applyNumberFormat="1" applyFont="1" applyBorder="1"/>
    <xf numFmtId="0" fontId="5" fillId="0" borderId="10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167" fontId="5" fillId="0" borderId="11" xfId="0" applyNumberFormat="1" applyFont="1" applyBorder="1"/>
    <xf numFmtId="0" fontId="12" fillId="0" borderId="9" xfId="0" applyFont="1" applyBorder="1"/>
    <xf numFmtId="172" fontId="5" fillId="0" borderId="2" xfId="0" applyNumberFormat="1" applyFont="1" applyBorder="1"/>
    <xf numFmtId="0" fontId="5" fillId="0" borderId="1" xfId="0" applyFont="1" applyBorder="1"/>
    <xf numFmtId="181" fontId="5" fillId="0" borderId="10" xfId="0" applyNumberFormat="1" applyFont="1" applyBorder="1"/>
    <xf numFmtId="0" fontId="12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167" fontId="5" fillId="0" borderId="2" xfId="0" applyNumberFormat="1" applyFont="1" applyBorder="1"/>
    <xf numFmtId="180" fontId="5" fillId="0" borderId="10" xfId="0" applyNumberFormat="1" applyFont="1" applyBorder="1"/>
    <xf numFmtId="2" fontId="5" fillId="0" borderId="2" xfId="0" applyNumberFormat="1" applyFont="1" applyBorder="1"/>
    <xf numFmtId="0" fontId="12" fillId="0" borderId="4" xfId="0" applyFont="1" applyBorder="1" applyAlignment="1">
      <alignment horizontal="centerContinuous"/>
    </xf>
    <xf numFmtId="0" fontId="5" fillId="0" borderId="6" xfId="0" applyFont="1" applyBorder="1" applyAlignment="1">
      <alignment horizontal="right"/>
    </xf>
    <xf numFmtId="0" fontId="10" fillId="0" borderId="2" xfId="0" applyFont="1" applyBorder="1"/>
    <xf numFmtId="0" fontId="5" fillId="0" borderId="1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13" xfId="0" applyFont="1" applyBorder="1" applyAlignment="1">
      <alignment horizontal="center"/>
    </xf>
    <xf numFmtId="2" fontId="5" fillId="0" borderId="0" xfId="0" applyNumberFormat="1" applyFont="1"/>
    <xf numFmtId="0" fontId="5" fillId="0" borderId="11" xfId="0" applyFont="1" applyBorder="1"/>
    <xf numFmtId="0" fontId="5" fillId="0" borderId="9" xfId="0" applyFont="1" applyBorder="1"/>
    <xf numFmtId="0" fontId="5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66" fontId="5" fillId="0" borderId="0" xfId="0" applyNumberFormat="1" applyFont="1"/>
    <xf numFmtId="0" fontId="5" fillId="0" borderId="4" xfId="0" applyFont="1" applyBorder="1"/>
    <xf numFmtId="0" fontId="5" fillId="0" borderId="5" xfId="0" applyFont="1" applyBorder="1"/>
    <xf numFmtId="167" fontId="5" fillId="0" borderId="10" xfId="0" applyNumberFormat="1" applyFont="1" applyBorder="1" applyAlignment="1">
      <alignment horizontal="center"/>
    </xf>
    <xf numFmtId="170" fontId="13" fillId="3" borderId="6" xfId="0" applyNumberFormat="1" applyFont="1" applyFill="1" applyBorder="1" applyAlignment="1">
      <alignment horizontal="right"/>
    </xf>
    <xf numFmtId="184" fontId="13" fillId="3" borderId="10" xfId="0" applyNumberFormat="1" applyFont="1" applyFill="1" applyBorder="1" applyAlignment="1">
      <alignment horizontal="right"/>
    </xf>
    <xf numFmtId="170" fontId="13" fillId="0" borderId="6" xfId="0" applyNumberFormat="1" applyFont="1" applyBorder="1" applyAlignment="1">
      <alignment horizontal="right"/>
    </xf>
    <xf numFmtId="172" fontId="13" fillId="3" borderId="10" xfId="0" applyNumberFormat="1" applyFont="1" applyFill="1" applyBorder="1"/>
    <xf numFmtId="166" fontId="13" fillId="0" borderId="1" xfId="0" applyNumberFormat="1" applyFont="1" applyBorder="1" applyAlignment="1">
      <alignment horizontal="center"/>
    </xf>
    <xf numFmtId="172" fontId="13" fillId="0" borderId="10" xfId="0" applyNumberFormat="1" applyFont="1" applyBorder="1"/>
    <xf numFmtId="182" fontId="13" fillId="0" borderId="10" xfId="0" applyNumberFormat="1" applyFont="1" applyBorder="1" applyAlignment="1">
      <alignment horizontal="right"/>
    </xf>
    <xf numFmtId="166" fontId="13" fillId="0" borderId="5" xfId="0" applyNumberFormat="1" applyFont="1" applyBorder="1" applyAlignment="1">
      <alignment horizontal="center"/>
    </xf>
    <xf numFmtId="169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right"/>
    </xf>
    <xf numFmtId="169" fontId="13" fillId="3" borderId="5" xfId="0" applyNumberFormat="1" applyFont="1" applyFill="1" applyBorder="1" applyAlignment="1">
      <alignment horizontal="right"/>
    </xf>
    <xf numFmtId="169" fontId="13" fillId="3" borderId="24" xfId="0" applyNumberFormat="1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75" fontId="7" fillId="0" borderId="0" xfId="0" applyNumberFormat="1" applyFont="1"/>
    <xf numFmtId="180" fontId="7" fillId="0" borderId="0" xfId="0" applyNumberFormat="1" applyFont="1"/>
    <xf numFmtId="181" fontId="7" fillId="0" borderId="0" xfId="0" applyNumberFormat="1" applyFont="1"/>
    <xf numFmtId="165" fontId="7" fillId="0" borderId="0" xfId="0" applyNumberFormat="1" applyFont="1" applyAlignment="1">
      <alignment horizontal="centerContinuous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77" fontId="7" fillId="0" borderId="0" xfId="0" applyNumberFormat="1" applyFont="1"/>
    <xf numFmtId="164" fontId="7" fillId="0" borderId="0" xfId="0" applyNumberFormat="1" applyFont="1"/>
    <xf numFmtId="176" fontId="7" fillId="0" borderId="0" xfId="0" applyNumberFormat="1" applyFont="1"/>
    <xf numFmtId="166" fontId="7" fillId="0" borderId="0" xfId="0" applyNumberFormat="1" applyFont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171" fontId="13" fillId="0" borderId="10" xfId="0" applyNumberFormat="1" applyFont="1" applyBorder="1"/>
    <xf numFmtId="171" fontId="13" fillId="0" borderId="1" xfId="0" applyNumberFormat="1" applyFont="1" applyBorder="1"/>
    <xf numFmtId="171" fontId="13" fillId="0" borderId="3" xfId="0" applyNumberFormat="1" applyFont="1" applyBorder="1"/>
    <xf numFmtId="2" fontId="13" fillId="0" borderId="1" xfId="0" applyNumberFormat="1" applyFont="1" applyBorder="1" applyAlignment="1">
      <alignment horizontal="center"/>
    </xf>
    <xf numFmtId="171" fontId="13" fillId="0" borderId="6" xfId="0" applyNumberFormat="1" applyFont="1" applyBorder="1"/>
    <xf numFmtId="171" fontId="13" fillId="0" borderId="5" xfId="0" applyNumberFormat="1" applyFont="1" applyBorder="1"/>
    <xf numFmtId="171" fontId="13" fillId="0" borderId="24" xfId="0" applyNumberFormat="1" applyFont="1" applyBorder="1"/>
    <xf numFmtId="2" fontId="13" fillId="0" borderId="5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166" fontId="5" fillId="0" borderId="0" xfId="0" applyNumberFormat="1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5" fillId="0" borderId="2" xfId="0" applyNumberFormat="1" applyFont="1" applyBorder="1"/>
    <xf numFmtId="2" fontId="5" fillId="0" borderId="3" xfId="0" applyNumberFormat="1" applyFont="1" applyBorder="1"/>
    <xf numFmtId="0" fontId="5" fillId="0" borderId="7" xfId="0" applyFont="1" applyBorder="1"/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/>
    <xf numFmtId="174" fontId="5" fillId="0" borderId="10" xfId="0" applyNumberFormat="1" applyFont="1" applyBorder="1" applyAlignment="1">
      <alignment horizontal="centerContinuous"/>
    </xf>
    <xf numFmtId="174" fontId="5" fillId="0" borderId="10" xfId="0" applyNumberFormat="1" applyFont="1" applyBorder="1"/>
    <xf numFmtId="2" fontId="5" fillId="0" borderId="10" xfId="0" applyNumberFormat="1" applyFont="1" applyBorder="1"/>
    <xf numFmtId="0" fontId="5" fillId="0" borderId="10" xfId="0" applyFont="1" applyBorder="1"/>
    <xf numFmtId="0" fontId="5" fillId="0" borderId="10" xfId="0" applyFont="1" applyBorder="1" applyAlignment="1">
      <alignment horizontal="centerContinuous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73" fontId="5" fillId="0" borderId="16" xfId="0" applyNumberFormat="1" applyFont="1" applyBorder="1" applyAlignment="1">
      <alignment horizontal="centerContinuous"/>
    </xf>
    <xf numFmtId="173" fontId="5" fillId="0" borderId="16" xfId="0" applyNumberFormat="1" applyFont="1" applyBorder="1"/>
    <xf numFmtId="2" fontId="5" fillId="0" borderId="16" xfId="0" applyNumberFormat="1" applyFont="1" applyBorder="1"/>
    <xf numFmtId="182" fontId="5" fillId="0" borderId="16" xfId="0" applyNumberFormat="1" applyFont="1" applyBorder="1"/>
    <xf numFmtId="182" fontId="5" fillId="0" borderId="16" xfId="0" applyNumberFormat="1" applyFont="1" applyBorder="1" applyAlignment="1">
      <alignment horizontal="centerContinuous"/>
    </xf>
    <xf numFmtId="0" fontId="5" fillId="0" borderId="14" xfId="0" applyFont="1" applyBorder="1" applyAlignment="1">
      <alignment horizontal="center"/>
    </xf>
    <xf numFmtId="174" fontId="5" fillId="0" borderId="16" xfId="0" applyNumberFormat="1" applyFont="1" applyBorder="1" applyAlignment="1">
      <alignment horizontal="center"/>
    </xf>
    <xf numFmtId="178" fontId="5" fillId="0" borderId="16" xfId="0" applyNumberFormat="1" applyFont="1" applyBorder="1"/>
    <xf numFmtId="0" fontId="5" fillId="0" borderId="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73" fontId="5" fillId="0" borderId="17" xfId="0" applyNumberFormat="1" applyFont="1" applyBorder="1" applyAlignment="1">
      <alignment horizontal="centerContinuous"/>
    </xf>
    <xf numFmtId="173" fontId="5" fillId="0" borderId="17" xfId="0" applyNumberFormat="1" applyFont="1" applyBorder="1"/>
    <xf numFmtId="2" fontId="5" fillId="0" borderId="17" xfId="0" applyNumberFormat="1" applyFont="1" applyBorder="1"/>
    <xf numFmtId="182" fontId="5" fillId="0" borderId="17" xfId="0" applyNumberFormat="1" applyFont="1" applyBorder="1"/>
    <xf numFmtId="182" fontId="5" fillId="0" borderId="17" xfId="0" applyNumberFormat="1" applyFont="1" applyBorder="1" applyAlignment="1">
      <alignment horizontal="centerContinuous"/>
    </xf>
    <xf numFmtId="174" fontId="5" fillId="0" borderId="17" xfId="0" applyNumberFormat="1" applyFont="1" applyBorder="1" applyAlignment="1">
      <alignment horizontal="center"/>
    </xf>
    <xf numFmtId="178" fontId="5" fillId="0" borderId="17" xfId="0" applyNumberFormat="1" applyFont="1" applyBorder="1"/>
    <xf numFmtId="0" fontId="5" fillId="0" borderId="8" xfId="0" applyFont="1" applyBorder="1"/>
    <xf numFmtId="0" fontId="5" fillId="0" borderId="14" xfId="0" applyFont="1" applyBorder="1"/>
    <xf numFmtId="0" fontId="5" fillId="0" borderId="18" xfId="0" applyFont="1" applyBorder="1" applyAlignment="1">
      <alignment horizontal="center"/>
    </xf>
    <xf numFmtId="173" fontId="5" fillId="0" borderId="18" xfId="0" applyNumberFormat="1" applyFont="1" applyBorder="1" applyAlignment="1">
      <alignment horizontal="centerContinuous"/>
    </xf>
    <xf numFmtId="173" fontId="5" fillId="0" borderId="18" xfId="0" applyNumberFormat="1" applyFont="1" applyBorder="1"/>
    <xf numFmtId="2" fontId="5" fillId="0" borderId="18" xfId="0" applyNumberFormat="1" applyFont="1" applyBorder="1"/>
    <xf numFmtId="182" fontId="5" fillId="0" borderId="18" xfId="0" applyNumberFormat="1" applyFont="1" applyBorder="1"/>
    <xf numFmtId="182" fontId="5" fillId="0" borderId="18" xfId="0" applyNumberFormat="1" applyFont="1" applyBorder="1" applyAlignment="1">
      <alignment horizontal="centerContinuous"/>
    </xf>
    <xf numFmtId="0" fontId="5" fillId="0" borderId="15" xfId="0" applyFont="1" applyBorder="1"/>
    <xf numFmtId="174" fontId="5" fillId="0" borderId="18" xfId="0" applyNumberFormat="1" applyFont="1" applyBorder="1" applyAlignment="1">
      <alignment horizontal="center"/>
    </xf>
    <xf numFmtId="178" fontId="5" fillId="0" borderId="18" xfId="0" applyNumberFormat="1" applyFont="1" applyBorder="1"/>
    <xf numFmtId="0" fontId="5" fillId="0" borderId="24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167" fontId="5" fillId="0" borderId="10" xfId="0" applyNumberFormat="1" applyFont="1" applyBorder="1"/>
    <xf numFmtId="167" fontId="5" fillId="0" borderId="1" xfId="0" applyNumberFormat="1" applyFont="1" applyBorder="1" applyAlignment="1">
      <alignment horizontal="center"/>
    </xf>
    <xf numFmtId="172" fontId="5" fillId="0" borderId="16" xfId="0" applyNumberFormat="1" applyFont="1" applyBorder="1"/>
    <xf numFmtId="172" fontId="5" fillId="0" borderId="19" xfId="0" applyNumberFormat="1" applyFont="1" applyBorder="1"/>
    <xf numFmtId="182" fontId="5" fillId="0" borderId="16" xfId="0" applyNumberFormat="1" applyFont="1" applyBorder="1" applyAlignment="1">
      <alignment horizontal="right"/>
    </xf>
    <xf numFmtId="172" fontId="5" fillId="0" borderId="17" xfId="0" applyNumberFormat="1" applyFont="1" applyBorder="1"/>
    <xf numFmtId="172" fontId="5" fillId="0" borderId="20" xfId="0" applyNumberFormat="1" applyFont="1" applyBorder="1"/>
    <xf numFmtId="182" fontId="5" fillId="0" borderId="17" xfId="0" applyNumberFormat="1" applyFont="1" applyBorder="1" applyAlignment="1">
      <alignment horizontal="right"/>
    </xf>
    <xf numFmtId="0" fontId="5" fillId="0" borderId="12" xfId="0" applyFont="1" applyBorder="1"/>
    <xf numFmtId="172" fontId="5" fillId="0" borderId="18" xfId="0" applyNumberFormat="1" applyFont="1" applyBorder="1"/>
    <xf numFmtId="172" fontId="5" fillId="0" borderId="21" xfId="0" applyNumberFormat="1" applyFont="1" applyBorder="1"/>
    <xf numFmtId="182" fontId="5" fillId="0" borderId="18" xfId="0" applyNumberFormat="1" applyFont="1" applyBorder="1" applyAlignment="1">
      <alignment horizontal="right"/>
    </xf>
    <xf numFmtId="172" fontId="5" fillId="0" borderId="0" xfId="0" applyNumberFormat="1" applyFont="1"/>
    <xf numFmtId="174" fontId="5" fillId="0" borderId="0" xfId="0" applyNumberFormat="1" applyFont="1" applyAlignment="1">
      <alignment horizontal="center"/>
    </xf>
    <xf numFmtId="172" fontId="5" fillId="0" borderId="0" xfId="0" applyNumberFormat="1" applyFont="1" applyAlignment="1">
      <alignment horizontal="right"/>
    </xf>
    <xf numFmtId="0" fontId="5" fillId="0" borderId="6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0" xfId="0" applyNumberFormat="1" applyFont="1"/>
    <xf numFmtId="179" fontId="5" fillId="0" borderId="46" xfId="1" applyNumberFormat="1" applyFont="1" applyBorder="1"/>
    <xf numFmtId="179" fontId="5" fillId="0" borderId="47" xfId="1" applyNumberFormat="1" applyFont="1" applyBorder="1"/>
    <xf numFmtId="179" fontId="5" fillId="0" borderId="48" xfId="1" applyNumberFormat="1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9" xfId="0" applyFont="1" applyBorder="1"/>
    <xf numFmtId="0" fontId="5" fillId="0" borderId="30" xfId="0" applyFont="1" applyBorder="1"/>
    <xf numFmtId="0" fontId="5" fillId="0" borderId="31" xfId="0" applyFont="1" applyBorder="1"/>
    <xf numFmtId="172" fontId="5" fillId="0" borderId="23" xfId="0" applyNumberFormat="1" applyFont="1" applyBorder="1"/>
    <xf numFmtId="172" fontId="5" fillId="0" borderId="28" xfId="0" applyNumberFormat="1" applyFont="1" applyBorder="1"/>
    <xf numFmtId="0" fontId="5" fillId="0" borderId="32" xfId="0" applyFont="1" applyBorder="1"/>
    <xf numFmtId="182" fontId="5" fillId="0" borderId="35" xfId="0" applyNumberFormat="1" applyFont="1" applyBorder="1"/>
    <xf numFmtId="182" fontId="5" fillId="0" borderId="36" xfId="0" applyNumberFormat="1" applyFont="1" applyBorder="1"/>
    <xf numFmtId="182" fontId="5" fillId="0" borderId="37" xfId="0" applyNumberFormat="1" applyFont="1" applyBorder="1"/>
    <xf numFmtId="172" fontId="5" fillId="0" borderId="35" xfId="0" applyNumberFormat="1" applyFont="1" applyBorder="1"/>
    <xf numFmtId="172" fontId="5" fillId="0" borderId="36" xfId="0" applyNumberFormat="1" applyFont="1" applyBorder="1"/>
    <xf numFmtId="172" fontId="5" fillId="0" borderId="37" xfId="0" applyNumberFormat="1" applyFont="1" applyBorder="1"/>
    <xf numFmtId="0" fontId="5" fillId="0" borderId="33" xfId="0" applyFont="1" applyBorder="1"/>
    <xf numFmtId="182" fontId="5" fillId="0" borderId="38" xfId="0" applyNumberFormat="1" applyFont="1" applyBorder="1"/>
    <xf numFmtId="182" fontId="5" fillId="0" borderId="10" xfId="0" applyNumberFormat="1" applyFont="1" applyBorder="1"/>
    <xf numFmtId="182" fontId="5" fillId="0" borderId="39" xfId="0" applyNumberFormat="1" applyFont="1" applyBorder="1"/>
    <xf numFmtId="172" fontId="5" fillId="0" borderId="38" xfId="0" applyNumberFormat="1" applyFont="1" applyBorder="1"/>
    <xf numFmtId="172" fontId="5" fillId="0" borderId="10" xfId="0" applyNumberFormat="1" applyFont="1" applyBorder="1"/>
    <xf numFmtId="172" fontId="5" fillId="0" borderId="39" xfId="0" applyNumberFormat="1" applyFont="1" applyBorder="1"/>
    <xf numFmtId="0" fontId="5" fillId="0" borderId="34" xfId="0" applyFont="1" applyBorder="1"/>
    <xf numFmtId="182" fontId="5" fillId="0" borderId="40" xfId="0" applyNumberFormat="1" applyFont="1" applyBorder="1"/>
    <xf numFmtId="182" fontId="5" fillId="0" borderId="41" xfId="0" applyNumberFormat="1" applyFont="1" applyBorder="1"/>
    <xf numFmtId="182" fontId="5" fillId="0" borderId="42" xfId="0" applyNumberFormat="1" applyFont="1" applyBorder="1"/>
    <xf numFmtId="172" fontId="5" fillId="0" borderId="40" xfId="0" applyNumberFormat="1" applyFont="1" applyBorder="1"/>
    <xf numFmtId="172" fontId="5" fillId="0" borderId="41" xfId="0" applyNumberFormat="1" applyFont="1" applyBorder="1"/>
    <xf numFmtId="172" fontId="5" fillId="0" borderId="42" xfId="0" applyNumberFormat="1" applyFont="1" applyBorder="1"/>
    <xf numFmtId="183" fontId="5" fillId="0" borderId="2" xfId="0" applyNumberFormat="1" applyFont="1" applyBorder="1" applyAlignment="1">
      <alignment horizontal="center"/>
    </xf>
    <xf numFmtId="183" fontId="5" fillId="0" borderId="1" xfId="0" applyNumberFormat="1" applyFont="1" applyBorder="1" applyAlignment="1">
      <alignment horizontal="center"/>
    </xf>
    <xf numFmtId="181" fontId="5" fillId="0" borderId="2" xfId="0" applyNumberFormat="1" applyFont="1" applyBorder="1" applyAlignment="1">
      <alignment horizontal="center"/>
    </xf>
    <xf numFmtId="181" fontId="5" fillId="0" borderId="1" xfId="0" applyNumberFormat="1" applyFont="1" applyBorder="1" applyAlignment="1">
      <alignment horizontal="center"/>
    </xf>
    <xf numFmtId="180" fontId="5" fillId="0" borderId="2" xfId="0" applyNumberFormat="1" applyFont="1" applyBorder="1" applyAlignment="1">
      <alignment horizontal="center"/>
    </xf>
    <xf numFmtId="180" fontId="5" fillId="0" borderId="1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24" xfId="0" applyNumberFormat="1" applyFont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3" borderId="2" xfId="0" applyFont="1" applyFill="1" applyBorder="1" applyAlignment="1">
      <alignment horizontal="center" shrinkToFit="1"/>
    </xf>
    <xf numFmtId="0" fontId="8" fillId="3" borderId="1" xfId="0" applyFont="1" applyFill="1" applyBorder="1" applyAlignment="1">
      <alignment horizontal="center" shrinkToFit="1"/>
    </xf>
    <xf numFmtId="172" fontId="5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2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vertical="distributed"/>
    </xf>
    <xf numFmtId="0" fontId="10" fillId="0" borderId="1" xfId="0" applyFont="1" applyBorder="1" applyAlignment="1">
      <alignment horizontal="center" vertical="distributed"/>
    </xf>
    <xf numFmtId="0" fontId="5" fillId="0" borderId="10" xfId="0" applyFont="1" applyBorder="1" applyAlignment="1">
      <alignment horizontal="center"/>
    </xf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  <xf numFmtId="173" fontId="16" fillId="0" borderId="10" xfId="0" applyNumberFormat="1" applyFont="1" applyBorder="1" applyAlignment="1">
      <alignment horizontal="center" vertical="center" wrapText="1"/>
    </xf>
    <xf numFmtId="173" fontId="16" fillId="0" borderId="10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AFC5D454-D5A7-4CBE-B43E-19E19BFCF8BA}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2.xml"/><Relationship Id="rId5" Type="http://schemas.openxmlformats.org/officeDocument/2006/relationships/chartsheet" Target="chartsheets/sheet4.xml"/><Relationship Id="rId15" Type="http://schemas.openxmlformats.org/officeDocument/2006/relationships/calcChain" Target="calcChain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Comparison of Volumetric efficiency  wit measured  data and calculation</a:t>
            </a:r>
            <a:r>
              <a:rPr lang="ja-JP" altLang="en-US"/>
              <a:t>
</a:t>
            </a:r>
          </a:p>
        </c:rich>
      </c:tx>
      <c:layout>
        <c:manualLayout>
          <c:xMode val="edge"/>
          <c:yMode val="edge"/>
          <c:x val="0.16199397575419003"/>
          <c:y val="4.94280999768909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4309764309764308"/>
          <c:w val="0.76701388888888888"/>
          <c:h val="0.747474747474747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DATA!$D$72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DATA!$D$73:$D$87</c:f>
              <c:numCache>
                <c:formatCode>0.0000_ </c:formatCode>
                <c:ptCount val="15"/>
                <c:pt idx="0">
                  <c:v>1.0956245219078622</c:v>
                </c:pt>
                <c:pt idx="3">
                  <c:v>0.95303014229325811</c:v>
                </c:pt>
                <c:pt idx="6">
                  <c:v>0.87619842763603994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35E-B8BB-1E51C253C900}"/>
            </c:ext>
          </c:extLst>
        </c:ser>
        <c:ser>
          <c:idx val="1"/>
          <c:order val="1"/>
          <c:tx>
            <c:strRef>
              <c:f>DATA!$E$72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trendline>
            <c:spPr>
              <a:ln w="12700">
                <a:solidFill>
                  <a:srgbClr val="FF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DATA!$E$73:$E$87</c:f>
              <c:numCache>
                <c:formatCode>0.0000_ </c:formatCode>
                <c:ptCount val="15"/>
                <c:pt idx="1">
                  <c:v>0.91886269724632264</c:v>
                </c:pt>
                <c:pt idx="4">
                  <c:v>0.84245899355537046</c:v>
                </c:pt>
                <c:pt idx="7">
                  <c:v>0.80414322124020599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8-435E-B8BB-1E51C253C900}"/>
            </c:ext>
          </c:extLst>
        </c:ser>
        <c:ser>
          <c:idx val="2"/>
          <c:order val="2"/>
          <c:tx>
            <c:strRef>
              <c:f>DATA!$F$72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DATA!$F$73:$F$87</c:f>
              <c:numCache>
                <c:formatCode>0.0000_ </c:formatCode>
                <c:ptCount val="15"/>
                <c:pt idx="2">
                  <c:v>0.74203898626997011</c:v>
                </c:pt>
                <c:pt idx="5">
                  <c:v>0.73182012025267396</c:v>
                </c:pt>
                <c:pt idx="8">
                  <c:v>0.73202501175514101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58-435E-B8BB-1E51C253C900}"/>
            </c:ext>
          </c:extLst>
        </c:ser>
        <c:ser>
          <c:idx val="3"/>
          <c:order val="3"/>
          <c:tx>
            <c:strRef>
              <c:f>DATA!$G$72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DATA!$G$73:$G$87</c:f>
              <c:numCache>
                <c:formatCode>0.0000_ </c:formatCode>
                <c:ptCount val="15"/>
                <c:pt idx="0">
                  <c:v>1.0097341701536786</c:v>
                </c:pt>
                <c:pt idx="3">
                  <c:v>0.96470981083277008</c:v>
                </c:pt>
                <c:pt idx="6">
                  <c:v>0.93851379315688788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8-435E-B8BB-1E51C253C900}"/>
            </c:ext>
          </c:extLst>
        </c:ser>
        <c:ser>
          <c:idx val="4"/>
          <c:order val="4"/>
          <c:tx>
            <c:strRef>
              <c:f>DATA!$H$72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DATA!$H$73:$H$87</c:f>
              <c:numCache>
                <c:formatCode>0.0000_ </c:formatCode>
                <c:ptCount val="15"/>
                <c:pt idx="1">
                  <c:v>0.9127866497171222</c:v>
                </c:pt>
                <c:pt idx="4">
                  <c:v>0.85426271212492422</c:v>
                </c:pt>
                <c:pt idx="7">
                  <c:v>0.8202123863290498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8-435E-B8BB-1E51C253C900}"/>
            </c:ext>
          </c:extLst>
        </c:ser>
        <c:ser>
          <c:idx val="5"/>
          <c:order val="5"/>
          <c:tx>
            <c:strRef>
              <c:f>DATA!$I$72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DATA!$I$73:$I$87</c:f>
              <c:numCache>
                <c:formatCode>0.0000_ </c:formatCode>
                <c:ptCount val="15"/>
                <c:pt idx="2">
                  <c:v>0.79631748766407751</c:v>
                </c:pt>
                <c:pt idx="5">
                  <c:v>0.72157565649144995</c:v>
                </c:pt>
                <c:pt idx="8">
                  <c:v>0.67808945568688417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8-435E-B8BB-1E51C253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5128"/>
        <c:axId val="298411992"/>
      </c:scatterChart>
      <c:valAx>
        <c:axId val="298415128"/>
        <c:scaling>
          <c:orientation val="minMax"/>
          <c:min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Compression rate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/P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e</a:t>
                </a:r>
                <a:endPara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0.40104166666666669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992"/>
        <c:crosses val="autoZero"/>
        <c:crossBetween val="midCat"/>
      </c:valAx>
      <c:valAx>
        <c:axId val="298411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Volumetric efficiency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ηv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3602693602693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5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9201388888888888"/>
          <c:y val="0.15399257716950329"/>
          <c:w val="6.25E-2"/>
          <c:h val="0.4238664216228617"/>
        </c:manualLayout>
      </c:layout>
      <c:overlay val="0"/>
      <c:spPr>
        <a:solidFill>
          <a:srgbClr val="FFFFFF"/>
        </a:solidFill>
        <a:ln w="25400">
          <a:solidFill>
            <a:srgbClr val="FF00FF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Cooling capacity</a:t>
            </a:r>
            <a:endParaRPr lang="ja-JP" altLang="en-US" sz="1400"/>
          </a:p>
        </c:rich>
      </c:tx>
      <c:layout>
        <c:manualLayout>
          <c:xMode val="edge"/>
          <c:yMode val="edge"/>
          <c:x val="0.40410891094447798"/>
          <c:y val="2.0202068692893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2121212121212122"/>
          <c:w val="0.81354166666666672"/>
          <c:h val="0.77609427609427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DATA!$C$104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DATA!$C$105:$C$109</c:f>
              <c:numCache>
                <c:formatCode>0.00_ </c:formatCode>
                <c:ptCount val="5"/>
                <c:pt idx="0">
                  <c:v>49.148218822985378</c:v>
                </c:pt>
                <c:pt idx="1">
                  <c:v>75.099432226033741</c:v>
                </c:pt>
                <c:pt idx="2">
                  <c:v>112.198762490871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4E-4EAE-B739-32505A9B936F}"/>
            </c:ext>
          </c:extLst>
        </c:ser>
        <c:ser>
          <c:idx val="1"/>
          <c:order val="1"/>
          <c:tx>
            <c:strRef>
              <c:f>DATA!$D$104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7030A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DATA!$D$105:$D$109</c:f>
              <c:numCache>
                <c:formatCode>0.00_ </c:formatCode>
                <c:ptCount val="5"/>
                <c:pt idx="0">
                  <c:v>44.429355096667656</c:v>
                </c:pt>
                <c:pt idx="1">
                  <c:v>66.501494990574457</c:v>
                </c:pt>
                <c:pt idx="2">
                  <c:v>98.055900080330318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4E-4EAE-B739-32505A9B936F}"/>
            </c:ext>
          </c:extLst>
        </c:ser>
        <c:ser>
          <c:idx val="2"/>
          <c:order val="2"/>
          <c:tx>
            <c:strRef>
              <c:f>DATA!$E$104</c:f>
              <c:strCache>
                <c:ptCount val="1"/>
                <c:pt idx="0">
                  <c:v>55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chemeClr val="accent6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DATA!$E$105:$E$109</c:f>
              <c:numCache>
                <c:formatCode>0.00_ </c:formatCode>
                <c:ptCount val="5"/>
                <c:pt idx="0">
                  <c:v>38.760286908313113</c:v>
                </c:pt>
                <c:pt idx="1">
                  <c:v>56.172251491727714</c:v>
                </c:pt>
                <c:pt idx="2">
                  <c:v>81.065188749398146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4E-4EAE-B739-32505A9B936F}"/>
            </c:ext>
          </c:extLst>
        </c:ser>
        <c:ser>
          <c:idx val="3"/>
          <c:order val="3"/>
          <c:tx>
            <c:strRef>
              <c:f>DATA!$F$104</c:f>
              <c:strCache>
                <c:ptCount val="1"/>
                <c:pt idx="0">
                  <c:v>35.0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DATA!$F$105:$F$109</c:f>
              <c:numCache>
                <c:formatCode>0.0_ </c:formatCode>
                <c:ptCount val="5"/>
                <c:pt idx="0">
                  <c:v>53.328881345434553</c:v>
                </c:pt>
                <c:pt idx="1">
                  <c:v>74.190209093796227</c:v>
                </c:pt>
                <c:pt idx="2">
                  <c:v>104.74899782402751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4E-4EAE-B739-32505A9B936F}"/>
            </c:ext>
          </c:extLst>
        </c:ser>
        <c:ser>
          <c:idx val="4"/>
          <c:order val="4"/>
          <c:tx>
            <c:strRef>
              <c:f>DATA!$G$104</c:f>
              <c:strCache>
                <c:ptCount val="1"/>
                <c:pt idx="0">
                  <c:v>45.0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DATA!$G$105:$G$109</c:f>
              <c:numCache>
                <c:formatCode>0.0_ </c:formatCode>
                <c:ptCount val="5"/>
                <c:pt idx="0">
                  <c:v>44.725103148353924</c:v>
                </c:pt>
                <c:pt idx="1">
                  <c:v>65.582614978393224</c:v>
                </c:pt>
                <c:pt idx="2">
                  <c:v>96.134841007596592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4E-4EAE-B739-32505A9B936F}"/>
            </c:ext>
          </c:extLst>
        </c:ser>
        <c:ser>
          <c:idx val="5"/>
          <c:order val="5"/>
          <c:tx>
            <c:strRef>
              <c:f>DATA!$H$104</c:f>
              <c:strCache>
                <c:ptCount val="1"/>
                <c:pt idx="0">
                  <c:v>55.0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DATA!$H$105:$H$109</c:f>
              <c:numCache>
                <c:formatCode>0.0_ </c:formatCode>
                <c:ptCount val="5"/>
                <c:pt idx="0">
                  <c:v>36.118312671177719</c:v>
                </c:pt>
                <c:pt idx="1">
                  <c:v>56.969748732129958</c:v>
                </c:pt>
                <c:pt idx="2">
                  <c:v>87.513152209540692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4E-4EAE-B739-32505A9B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776"/>
        <c:axId val="298411600"/>
      </c:scatterChart>
      <c:valAx>
        <c:axId val="298412776"/>
        <c:scaling>
          <c:orientation val="minMax"/>
          <c:max val="-10"/>
          <c:min val="-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Evaporating</a:t>
                </a:r>
                <a:r>
                  <a:rPr lang="en-US" altLang="ja-JP" baseline="0"/>
                  <a:t> Temp.</a:t>
                </a:r>
                <a:r>
                  <a:rPr lang="ja-JP" altLang="en-US"/>
                  <a:t>℃</a:t>
                </a:r>
              </a:p>
            </c:rich>
          </c:tx>
          <c:layout>
            <c:manualLayout>
              <c:xMode val="edge"/>
              <c:yMode val="edge"/>
              <c:x val="0.44479166666666664"/>
              <c:y val="0.951178451178451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600"/>
        <c:crosses val="autoZero"/>
        <c:crossBetween val="midCat"/>
        <c:majorUnit val="1"/>
      </c:valAx>
      <c:valAx>
        <c:axId val="298411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Cooling capacity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Kcal/h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1.4583333333333334E-2"/>
              <c:y val="0.4377104377104377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2776"/>
        <c:crossesAt val="-3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1840277777777779"/>
          <c:y val="0.1061640719567758"/>
          <c:w val="4.9118110236220473E-2"/>
          <c:h val="0.21580978633959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 sz="1400"/>
              <a:t>INPUT</a:t>
            </a:r>
            <a:endParaRPr lang="ja-JP" altLang="en-US" sz="14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DATA!$L$104</c:f>
              <c:strCache>
                <c:ptCount val="1"/>
                <c:pt idx="0">
                  <c:v>40.5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DATA!$L$105:$L$109</c:f>
              <c:numCache>
                <c:formatCode>0.0_ </c:formatCode>
                <c:ptCount val="5"/>
                <c:pt idx="0">
                  <c:v>23.098144708632134</c:v>
                </c:pt>
                <c:pt idx="1">
                  <c:v>29.241039210724985</c:v>
                </c:pt>
                <c:pt idx="2">
                  <c:v>34.862020126813064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C-4DAC-8DD8-D193A6EE9E78}"/>
            </c:ext>
          </c:extLst>
        </c:ser>
        <c:ser>
          <c:idx val="1"/>
          <c:order val="1"/>
          <c:tx>
            <c:strRef>
              <c:f>DATA!$M$104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C0000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DATA!$M$105:$M$109</c:f>
              <c:numCache>
                <c:formatCode>0.0_ </c:formatCode>
                <c:ptCount val="5"/>
                <c:pt idx="0">
                  <c:v>25.199458967135147</c:v>
                </c:pt>
                <c:pt idx="1">
                  <c:v>33.085435474695657</c:v>
                </c:pt>
                <c:pt idx="2">
                  <c:v>40.4494983962514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C-4DAC-8DD8-D193A6EE9E78}"/>
            </c:ext>
          </c:extLst>
        </c:ser>
        <c:ser>
          <c:idx val="2"/>
          <c:order val="2"/>
          <c:tx>
            <c:strRef>
              <c:f>DATA!$N$104</c:f>
              <c:strCache>
                <c:ptCount val="1"/>
                <c:pt idx="0">
                  <c:v>65.0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B05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DATA!$N$105:$N$109</c:f>
              <c:numCache>
                <c:formatCode>0.0_ </c:formatCode>
                <c:ptCount val="5"/>
                <c:pt idx="0">
                  <c:v>27.300773225638157</c:v>
                </c:pt>
                <c:pt idx="1">
                  <c:v>36.92983173866633</c:v>
                </c:pt>
                <c:pt idx="2">
                  <c:v>46.036976665689728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CC-4DAC-8DD8-D193A6EE9E78}"/>
            </c:ext>
          </c:extLst>
        </c:ser>
        <c:ser>
          <c:idx val="3"/>
          <c:order val="3"/>
          <c:tx>
            <c:strRef>
              <c:f>DATA!$O$104</c:f>
              <c:strCache>
                <c:ptCount val="1"/>
                <c:pt idx="0">
                  <c:v>40.5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DATA!$O$105:$O$109</c:f>
              <c:numCache>
                <c:formatCode>0.00_ </c:formatCode>
                <c:ptCount val="5"/>
                <c:pt idx="0">
                  <c:v>22.974852287715816</c:v>
                </c:pt>
                <c:pt idx="1">
                  <c:v>29.358355457071273</c:v>
                </c:pt>
                <c:pt idx="2">
                  <c:v>34.6913364693402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CC-4DAC-8DD8-D193A6EE9E78}"/>
            </c:ext>
          </c:extLst>
        </c:ser>
        <c:ser>
          <c:idx val="4"/>
          <c:order val="4"/>
          <c:tx>
            <c:strRef>
              <c:f>DATA!$P$104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DATA!$P$105:$P$109</c:f>
              <c:numCache>
                <c:formatCode>0.00_ </c:formatCode>
                <c:ptCount val="5"/>
                <c:pt idx="0">
                  <c:v>25.269840951940697</c:v>
                </c:pt>
                <c:pt idx="1">
                  <c:v>33.203208696057622</c:v>
                </c:pt>
                <c:pt idx="2">
                  <c:v>40.614662854169886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CC-4DAC-8DD8-D193A6EE9E78}"/>
            </c:ext>
          </c:extLst>
        </c:ser>
        <c:ser>
          <c:idx val="5"/>
          <c:order val="5"/>
          <c:tx>
            <c:strRef>
              <c:f>DATA!$Q$104</c:f>
              <c:strCache>
                <c:ptCount val="1"/>
                <c:pt idx="0">
                  <c:v>65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DATA!$Q$105:$Q$109</c:f>
              <c:numCache>
                <c:formatCode>0.00_ </c:formatCode>
                <c:ptCount val="5"/>
                <c:pt idx="0">
                  <c:v>27.353683661748953</c:v>
                </c:pt>
                <c:pt idx="1">
                  <c:v>36.694742270957995</c:v>
                </c:pt>
                <c:pt idx="2">
                  <c:v>46.042495865244213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CC-4DAC-8DD8-D193A6EE9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384"/>
        <c:axId val="298413168"/>
      </c:scatterChart>
      <c:valAx>
        <c:axId val="298412384"/>
        <c:scaling>
          <c:orientation val="minMax"/>
          <c:max val="-10"/>
          <c:min val="-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Evaporating Temp.</a:t>
                </a:r>
                <a:r>
                  <a:rPr lang="ja-JP" altLang="en-US" sz="1400"/>
                  <a:t>　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3168"/>
        <c:crosses val="autoZero"/>
        <c:crossBetween val="midCat"/>
        <c:majorUnit val="2"/>
      </c:valAx>
      <c:valAx>
        <c:axId val="29841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INPUT</a:t>
                </a:r>
                <a:r>
                  <a:rPr lang="ja-JP" altLang="en-US" sz="1400"/>
                  <a:t>　Ｗ</a:t>
                </a:r>
              </a:p>
            </c:rich>
          </c:tx>
          <c:overlay val="0"/>
        </c:title>
        <c:numFmt formatCode="0_ 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2384"/>
        <c:crossesAt val="-40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3065446501057048"/>
          <c:y val="9.6681746130094448E-2"/>
          <c:w val="5.1308310571943898E-2"/>
          <c:h val="0.2435809161909809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入力特性
</a:t>
            </a:r>
          </a:p>
        </c:rich>
      </c:tx>
      <c:layout>
        <c:manualLayout>
          <c:xMode val="edge"/>
          <c:yMode val="edge"/>
          <c:x val="0.46729857819905213"/>
          <c:y val="1.99386503067484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0995260663507"/>
          <c:y val="0.13803680981595093"/>
          <c:w val="0.75639810426540288"/>
          <c:h val="0.71012269938650308"/>
        </c:manualLayout>
      </c:layout>
      <c:lineChart>
        <c:grouping val="standard"/>
        <c:varyColors val="0"/>
        <c:ser>
          <c:idx val="0"/>
          <c:order val="0"/>
          <c:tx>
            <c:strRef>
              <c:f>DATA!$J$42</c:f>
              <c:strCache>
                <c:ptCount val="1"/>
                <c:pt idx="0">
                  <c:v>35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DATA!$J$43:$J$50</c:f>
              <c:numCache>
                <c:formatCode>0.00_ </c:formatCode>
                <c:ptCount val="8"/>
                <c:pt idx="0">
                  <c:v>24.995813985790491</c:v>
                </c:pt>
                <c:pt idx="1">
                  <c:v>26.234831157929154</c:v>
                </c:pt>
                <c:pt idx="2">
                  <c:v>27.452971786627632</c:v>
                </c:pt>
                <c:pt idx="3">
                  <c:v>28.650235871885918</c:v>
                </c:pt>
                <c:pt idx="4">
                  <c:v>29.826623413704009</c:v>
                </c:pt>
                <c:pt idx="5">
                  <c:v>30.982134412081916</c:v>
                </c:pt>
                <c:pt idx="6">
                  <c:v>32.116768867019623</c:v>
                </c:pt>
                <c:pt idx="7">
                  <c:v>33.230526778517145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3-49CA-9718-9B235A94533F}"/>
            </c:ext>
          </c:extLst>
        </c:ser>
        <c:ser>
          <c:idx val="1"/>
          <c:order val="1"/>
          <c:tx>
            <c:strRef>
              <c:f>DATA!$K$42</c:f>
              <c:strCache>
                <c:ptCount val="1"/>
                <c:pt idx="0">
                  <c:v>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DATA!$K$43:$K$50</c:f>
              <c:numCache>
                <c:formatCode>0.00_ </c:formatCode>
                <c:ptCount val="8"/>
                <c:pt idx="0">
                  <c:v>26.307933415862141</c:v>
                </c:pt>
                <c:pt idx="1">
                  <c:v>27.721258788547569</c:v>
                </c:pt>
                <c:pt idx="2">
                  <c:v>29.113707617792816</c:v>
                </c:pt>
                <c:pt idx="3">
                  <c:v>30.485279903597863</c:v>
                </c:pt>
                <c:pt idx="4">
                  <c:v>31.835975645962723</c:v>
                </c:pt>
                <c:pt idx="5">
                  <c:v>33.165794844887394</c:v>
                </c:pt>
                <c:pt idx="6">
                  <c:v>34.47473750037188</c:v>
                </c:pt>
                <c:pt idx="7">
                  <c:v>35.762803612416157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3-49CA-9718-9B235A94533F}"/>
            </c:ext>
          </c:extLst>
        </c:ser>
        <c:ser>
          <c:idx val="2"/>
          <c:order val="2"/>
          <c:tx>
            <c:strRef>
              <c:f>DATA!$L$42</c:f>
              <c:strCache>
                <c:ptCount val="1"/>
                <c:pt idx="0">
                  <c:v>45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DATA!$L$43:$L$50</c:f>
              <c:numCache>
                <c:formatCode>0.00_ </c:formatCode>
                <c:ptCount val="8"/>
                <c:pt idx="0">
                  <c:v>27.620052845933802</c:v>
                </c:pt>
                <c:pt idx="1">
                  <c:v>29.207686419166006</c:v>
                </c:pt>
                <c:pt idx="2">
                  <c:v>30.774443448958007</c:v>
                </c:pt>
                <c:pt idx="3">
                  <c:v>32.320323935309823</c:v>
                </c:pt>
                <c:pt idx="4">
                  <c:v>33.845327878221454</c:v>
                </c:pt>
                <c:pt idx="5">
                  <c:v>35.349455277692883</c:v>
                </c:pt>
                <c:pt idx="6">
                  <c:v>36.832706133724137</c:v>
                </c:pt>
                <c:pt idx="7">
                  <c:v>38.29508044631519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B93-49CA-9718-9B235A94533F}"/>
            </c:ext>
          </c:extLst>
        </c:ser>
        <c:ser>
          <c:idx val="3"/>
          <c:order val="3"/>
          <c:tx>
            <c:strRef>
              <c:f>DATA!$M$42</c:f>
              <c:strCache>
                <c:ptCount val="1"/>
                <c:pt idx="0">
                  <c:v>50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DATA!$M$43:$M$50</c:f>
              <c:numCache>
                <c:formatCode>0.00_ </c:formatCode>
                <c:ptCount val="8"/>
                <c:pt idx="0">
                  <c:v>28.932172276005453</c:v>
                </c:pt>
                <c:pt idx="1">
                  <c:v>30.694114049784421</c:v>
                </c:pt>
                <c:pt idx="2">
                  <c:v>32.435179280123194</c:v>
                </c:pt>
                <c:pt idx="3">
                  <c:v>34.155367967021775</c:v>
                </c:pt>
                <c:pt idx="4">
                  <c:v>35.854680110480167</c:v>
                </c:pt>
                <c:pt idx="5">
                  <c:v>37.533115710498365</c:v>
                </c:pt>
                <c:pt idx="6">
                  <c:v>39.190674767076381</c:v>
                </c:pt>
                <c:pt idx="7">
                  <c:v>40.827357280214201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93-49CA-9718-9B235A94533F}"/>
            </c:ext>
          </c:extLst>
        </c:ser>
        <c:ser>
          <c:idx val="4"/>
          <c:order val="4"/>
          <c:tx>
            <c:strRef>
              <c:f>DATA!$N$42</c:f>
              <c:strCache>
                <c:ptCount val="1"/>
                <c:pt idx="0">
                  <c:v>55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DATA!$N$43:$N$50</c:f>
              <c:numCache>
                <c:formatCode>0.00_ </c:formatCode>
                <c:ptCount val="8"/>
                <c:pt idx="0">
                  <c:v>30.244291706077099</c:v>
                </c:pt>
                <c:pt idx="1">
                  <c:v>32.18054168040284</c:v>
                </c:pt>
                <c:pt idx="2">
                  <c:v>34.095915111288377</c:v>
                </c:pt>
                <c:pt idx="3">
                  <c:v>35.990411998733727</c:v>
                </c:pt>
                <c:pt idx="4">
                  <c:v>37.864032342738881</c:v>
                </c:pt>
                <c:pt idx="5">
                  <c:v>39.716776143303846</c:v>
                </c:pt>
                <c:pt idx="6">
                  <c:v>41.548643400428631</c:v>
                </c:pt>
                <c:pt idx="7">
                  <c:v>43.35963411411322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B93-49CA-9718-9B235A945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6856"/>
        <c:axId val="299255288"/>
      </c:lineChart>
      <c:catAx>
        <c:axId val="299256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蒸発温度(℃）</a:t>
                </a:r>
              </a:p>
            </c:rich>
          </c:tx>
          <c:layout>
            <c:manualLayout>
              <c:xMode val="edge"/>
              <c:yMode val="edge"/>
              <c:x val="0.45592417061611373"/>
              <c:y val="0.89723926380368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5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5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入力(W)</a:t>
                </a:r>
              </a:p>
            </c:rich>
          </c:tx>
          <c:layout>
            <c:manualLayout>
              <c:xMode val="edge"/>
              <c:yMode val="edge"/>
              <c:x val="4.1706161137440759E-2"/>
              <c:y val="0.44631901840490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00473933649284"/>
          <c:y val="0.14723926380368099"/>
          <c:w val="5.308056872037914E-2"/>
          <c:h val="0.15490797546012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冷凍能力　（ コンプ測定条件）
</a:t>
            </a:r>
          </a:p>
        </c:rich>
      </c:tx>
      <c:layout>
        <c:manualLayout>
          <c:xMode val="edge"/>
          <c:yMode val="edge"/>
          <c:x val="0.37931034482758619"/>
          <c:y val="2.19435736677115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35960591133005"/>
          <c:y val="0.10344827586206896"/>
          <c:w val="0.77832512315270941"/>
          <c:h val="0.74137931034482762"/>
        </c:manualLayout>
      </c:layout>
      <c:lineChart>
        <c:grouping val="standard"/>
        <c:varyColors val="0"/>
        <c:ser>
          <c:idx val="0"/>
          <c:order val="0"/>
          <c:tx>
            <c:strRef>
              <c:f>DATA!$C$42</c:f>
              <c:strCache>
                <c:ptCount val="1"/>
                <c:pt idx="0">
                  <c:v>35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DATA!$C$43:$C$50</c:f>
              <c:numCache>
                <c:formatCode>0.0_);[Red]\(0.0\)</c:formatCode>
                <c:ptCount val="8"/>
                <c:pt idx="0">
                  <c:v>55.930240442462029</c:v>
                </c:pt>
                <c:pt idx="1">
                  <c:v>60.907334699550482</c:v>
                </c:pt>
                <c:pt idx="2">
                  <c:v>66.273404542033433</c:v>
                </c:pt>
                <c:pt idx="3">
                  <c:v>72.050119622569113</c:v>
                </c:pt>
                <c:pt idx="4">
                  <c:v>78.259850759264097</c:v>
                </c:pt>
                <c:pt idx="5">
                  <c:v>84.925685102948478</c:v>
                </c:pt>
                <c:pt idx="6">
                  <c:v>92.071444772402614</c:v>
                </c:pt>
                <c:pt idx="7">
                  <c:v>99.721709573343887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65F-42B1-9332-AFF559841BE2}"/>
            </c:ext>
          </c:extLst>
        </c:ser>
        <c:ser>
          <c:idx val="1"/>
          <c:order val="1"/>
          <c:tx>
            <c:strRef>
              <c:f>DATA!$D$42</c:f>
              <c:strCache>
                <c:ptCount val="1"/>
                <c:pt idx="0">
                  <c:v>40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DATA!$D$43:$D$50</c:f>
              <c:numCache>
                <c:formatCode>0.0_);[Red]\(0.0\)</c:formatCode>
                <c:ptCount val="8"/>
                <c:pt idx="0">
                  <c:v>53.200742695109525</c:v>
                </c:pt>
                <c:pt idx="1">
                  <c:v>57.823612037698481</c:v>
                </c:pt>
                <c:pt idx="2">
                  <c:v>62.807779049942084</c:v>
                </c:pt>
                <c:pt idx="3">
                  <c:v>68.173372521005163</c:v>
                </c:pt>
                <c:pt idx="4">
                  <c:v>73.941172714758238</c:v>
                </c:pt>
                <c:pt idx="5">
                  <c:v>80.132625481676058</c:v>
                </c:pt>
                <c:pt idx="6">
                  <c:v>86.769859593977515</c:v>
                </c:pt>
                <c:pt idx="7">
                  <c:v>93.875707876149491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F-42B1-9332-AFF559841BE2}"/>
            </c:ext>
          </c:extLst>
        </c:ser>
        <c:ser>
          <c:idx val="2"/>
          <c:order val="2"/>
          <c:tx>
            <c:strRef>
              <c:f>DATA!$E$42</c:f>
              <c:strCache>
                <c:ptCount val="1"/>
                <c:pt idx="0">
                  <c:v>45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DATA!$E$43:$E$50</c:f>
              <c:numCache>
                <c:formatCode>0.0_);[Red]\(0.0\)</c:formatCode>
                <c:ptCount val="8"/>
                <c:pt idx="0">
                  <c:v>50.197600973276998</c:v>
                </c:pt>
                <c:pt idx="1">
                  <c:v>54.43073281903964</c:v>
                </c:pt>
                <c:pt idx="2">
                  <c:v>58.99470958775219</c:v>
                </c:pt>
                <c:pt idx="3">
                  <c:v>63.907964726844938</c:v>
                </c:pt>
                <c:pt idx="4">
                  <c:v>69.189528485999404</c:v>
                </c:pt>
                <c:pt idx="5">
                  <c:v>74.859040867863513</c:v>
                </c:pt>
                <c:pt idx="6">
                  <c:v>80.936767532765572</c:v>
                </c:pt>
                <c:pt idx="7">
                  <c:v>87.44361918152515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F-42B1-9332-AFF559841BE2}"/>
            </c:ext>
          </c:extLst>
        </c:ser>
        <c:ser>
          <c:idx val="3"/>
          <c:order val="3"/>
          <c:tx>
            <c:strRef>
              <c:f>DATA!$F$42</c:f>
              <c:strCache>
                <c:ptCount val="1"/>
                <c:pt idx="0">
                  <c:v>50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DATA!$F$43:$F$50</c:f>
              <c:numCache>
                <c:formatCode>0.0_);[Red]\(0.0\)</c:formatCode>
                <c:ptCount val="8"/>
                <c:pt idx="0">
                  <c:v>46.905870304000445</c:v>
                </c:pt>
                <c:pt idx="1">
                  <c:v>50.711812562956887</c:v>
                </c:pt>
                <c:pt idx="2">
                  <c:v>54.815220620740234</c:v>
                </c:pt>
                <c:pt idx="3">
                  <c:v>59.232669668028727</c:v>
                </c:pt>
                <c:pt idx="4">
                  <c:v>63.981271771510336</c:v>
                </c:pt>
                <c:pt idx="5">
                  <c:v>69.078687551830512</c:v>
                </c:pt>
                <c:pt idx="6">
                  <c:v>74.543140520421929</c:v>
                </c:pt>
                <c:pt idx="7">
                  <c:v>80.393434546654802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65F-42B1-9332-AFF559841BE2}"/>
            </c:ext>
          </c:extLst>
        </c:ser>
        <c:ser>
          <c:idx val="4"/>
          <c:order val="4"/>
          <c:tx>
            <c:strRef>
              <c:f>DATA!$G$42</c:f>
              <c:strCache>
                <c:ptCount val="1"/>
                <c:pt idx="0">
                  <c:v>55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DATA!$G$43:$G$50</c:f>
              <c:numCache>
                <c:formatCode>0.0_);[Red]\(0.0\)</c:formatCode>
                <c:ptCount val="8"/>
                <c:pt idx="0">
                  <c:v>43.310620137442989</c:v>
                </c:pt>
                <c:pt idx="1">
                  <c:v>46.649983083744353</c:v>
                </c:pt>
                <c:pt idx="2">
                  <c:v>50.250354927133145</c:v>
                </c:pt>
                <c:pt idx="3">
                  <c:v>54.126281257883214</c:v>
                </c:pt>
                <c:pt idx="4">
                  <c:v>58.292779090438081</c:v>
                </c:pt>
                <c:pt idx="5">
                  <c:v>62.765347151233286</c:v>
                </c:pt>
                <c:pt idx="6">
                  <c:v>67.559978503072912</c:v>
                </c:pt>
                <c:pt idx="7">
                  <c:v>72.693175919982508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65F-42B1-9332-AFF559841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4112"/>
        <c:axId val="299254896"/>
      </c:lineChart>
      <c:catAx>
        <c:axId val="2992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4926108374384238"/>
              <c:y val="0.89498432601880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  冷凍能力（kcal/h)</a:t>
                </a:r>
              </a:p>
            </c:rich>
          </c:tx>
          <c:layout>
            <c:manualLayout>
              <c:xMode val="edge"/>
              <c:yMode val="edge"/>
              <c:x val="3.5467980295566505E-2"/>
              <c:y val="0.3542319749216301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87027914614122"/>
          <c:y val="0.12852664576802508"/>
          <c:w val="6.3054187192118194E-2"/>
          <c:h val="0.15830721003134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100" b="1" i="0" u="sng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コンプ定格冷条件に対する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1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8020833333333331"/>
          <c:y val="2.02020202020202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4309764309764308"/>
          <c:w val="0.82708333333333328"/>
          <c:h val="0.747474747474747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DATA!$Q$42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DATA!$Q$43:$Q$50</c:f>
              <c:numCache>
                <c:formatCode>0.000_ </c:formatCode>
                <c:ptCount val="8"/>
                <c:pt idx="0">
                  <c:v>2.60184218614202</c:v>
                </c:pt>
                <c:pt idx="1">
                  <c:v>2.6995592913268824</c:v>
                </c:pt>
                <c:pt idx="2">
                  <c:v>2.8070585182412588</c:v>
                </c:pt>
                <c:pt idx="3">
                  <c:v>2.9242066012330405</c:v>
                </c:pt>
                <c:pt idx="4">
                  <c:v>3.0509597148180774</c:v>
                </c:pt>
                <c:pt idx="5">
                  <c:v>3.1873464661242381</c:v>
                </c:pt>
                <c:pt idx="6">
                  <c:v>3.3334554900612172</c:v>
                </c:pt>
                <c:pt idx="7">
                  <c:v>3.4894263645268824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626-96C4-4194AF8258E9}"/>
            </c:ext>
          </c:extLst>
        </c:ser>
        <c:ser>
          <c:idx val="1"/>
          <c:order val="1"/>
          <c:tx>
            <c:strRef>
              <c:f>DATA!$R$42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DATA!$R$43:$R$50</c:f>
              <c:numCache>
                <c:formatCode>0.000_ </c:formatCode>
                <c:ptCount val="8"/>
                <c:pt idx="0">
                  <c:v>2.3514324647767615</c:v>
                </c:pt>
                <c:pt idx="1">
                  <c:v>2.4254583349276952</c:v>
                </c:pt>
                <c:pt idx="2">
                  <c:v>2.5085194293917161</c:v>
                </c:pt>
                <c:pt idx="3">
                  <c:v>2.6003160754040526</c:v>
                </c:pt>
                <c:pt idx="4">
                  <c:v>2.7006588007225631</c:v>
                </c:pt>
                <c:pt idx="5">
                  <c:v>2.8094448490108954</c:v>
                </c:pt>
                <c:pt idx="6">
                  <c:v>2.9266411549414726</c:v>
                </c:pt>
                <c:pt idx="7">
                  <c:v>3.0522718811142169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626-96C4-4194AF8258E9}"/>
            </c:ext>
          </c:extLst>
        </c:ser>
        <c:ser>
          <c:idx val="2"/>
          <c:order val="2"/>
          <c:tx>
            <c:strRef>
              <c:f>DATA!$S$42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DATA!$S$43:$S$50</c:f>
              <c:numCache>
                <c:formatCode>0.000_ </c:formatCode>
                <c:ptCount val="8"/>
                <c:pt idx="0">
                  <c:v>2.1132944163027521</c:v>
                </c:pt>
                <c:pt idx="1">
                  <c:v>2.16694841492304</c:v>
                </c:pt>
                <c:pt idx="2">
                  <c:v>2.2290736024005908</c:v>
                </c:pt>
                <c:pt idx="3">
                  <c:v>2.2992215994003407</c:v>
                </c:pt>
                <c:pt idx="4">
                  <c:v>2.3770766939967682</c:v>
                </c:pt>
                <c:pt idx="5">
                  <c:v>2.4624253945126684</c:v>
                </c:pt>
                <c:pt idx="6">
                  <c:v>2.5551345601719717</c:v>
                </c:pt>
                <c:pt idx="7">
                  <c:v>2.6551354839899672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626-96C4-4194AF8258E9}"/>
            </c:ext>
          </c:extLst>
        </c:ser>
        <c:ser>
          <c:idx val="3"/>
          <c:order val="3"/>
          <c:tx>
            <c:strRef>
              <c:f>DATA!$T$42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DATA!$T$43:$T$50</c:f>
              <c:numCache>
                <c:formatCode>0.000_ </c:formatCode>
                <c:ptCount val="8"/>
                <c:pt idx="0">
                  <c:v>1.8851577799102206</c:v>
                </c:pt>
                <c:pt idx="1">
                  <c:v>1.9211248063642721</c:v>
                </c:pt>
                <c:pt idx="2">
                  <c:v>1.9651079489431955</c:v>
                </c:pt>
                <c:pt idx="3">
                  <c:v>2.0165262852652317</c:v>
                </c:pt>
                <c:pt idx="4">
                  <c:v>2.0749544386409187</c:v>
                </c:pt>
                <c:pt idx="5">
                  <c:v>2.1400849295961537</c:v>
                </c:pt>
                <c:pt idx="6">
                  <c:v>2.211701403146058</c:v>
                </c:pt>
                <c:pt idx="7">
                  <c:v>2.2896592890730694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626-96C4-4194AF8258E9}"/>
            </c:ext>
          </c:extLst>
        </c:ser>
        <c:ser>
          <c:idx val="4"/>
          <c:order val="4"/>
          <c:tx>
            <c:strRef>
              <c:f>DATA!$U$42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DATA!$U$43:$U$50</c:f>
              <c:numCache>
                <c:formatCode>0.000_ </c:formatCode>
                <c:ptCount val="8"/>
                <c:pt idx="0">
                  <c:v>1.6651468216136069</c:v>
                </c:pt>
                <c:pt idx="1">
                  <c:v>1.6856200531105507</c:v>
                </c:pt>
                <c:pt idx="2">
                  <c:v>1.7137139470635079</c:v>
                </c:pt>
                <c:pt idx="3">
                  <c:v>1.7487306438334245</c:v>
                </c:pt>
                <c:pt idx="4">
                  <c:v>1.790150099556149</c:v>
                </c:pt>
                <c:pt idx="5">
                  <c:v>1.8375852445935341</c:v>
                </c:pt>
                <c:pt idx="6">
                  <c:v>1.8907504098592649</c:v>
                </c:pt>
                <c:pt idx="7">
                  <c:v>1.9494386996372937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C9-4626-96C4-4194AF82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440"/>
        <c:axId val="299392008"/>
      </c:scatterChart>
      <c:valAx>
        <c:axId val="299390440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蒸発温度　℃</a:t>
                </a:r>
              </a:p>
            </c:rich>
          </c:tx>
          <c:layout>
            <c:manualLayout>
              <c:xMode val="edge"/>
              <c:yMode val="edge"/>
              <c:x val="0.44166666666666665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008"/>
        <c:crossesAt val="-32"/>
        <c:crossBetween val="midCat"/>
        <c:majorUnit val="2"/>
        <c:minorUnit val="0.5"/>
      </c:valAx>
      <c:valAx>
        <c:axId val="29939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COP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8821548821548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440"/>
        <c:crossesAt val="-32"/>
        <c:crossBetween val="midCat"/>
        <c:majorUnit val="0.2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66666666666663"/>
          <c:y val="0.16737675555818332"/>
          <c:w val="6.6666666666666652E-2"/>
          <c:h val="0.17003367003366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+mn-ea"/>
                <a:ea typeface="+mn-ea"/>
                <a:cs typeface="明朝"/>
              </a:defRPr>
            </a:pPr>
            <a:r>
              <a:rPr lang="ja-JP" altLang="en-US" sz="1400">
                <a:latin typeface="+mn-ea"/>
                <a:ea typeface="+mn-ea"/>
              </a:rPr>
              <a:t>冷蔵庫条件　冷凍能力</a:t>
            </a:r>
            <a:r>
              <a:rPr lang="ja-JP" altLang="en-US">
                <a:latin typeface="+mn-ea"/>
                <a:ea typeface="+mn-ea"/>
              </a:rPr>
              <a:t>
 </a:t>
            </a:r>
          </a:p>
        </c:rich>
      </c:tx>
      <c:layout>
        <c:manualLayout>
          <c:xMode val="edge"/>
          <c:yMode val="edge"/>
          <c:x val="0.43229166666666669"/>
          <c:y val="5.2227342549923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16666666666667"/>
          <c:y val="0.11827956989247312"/>
          <c:w val="0.77187499999999998"/>
          <c:h val="0.77265745007680486"/>
        </c:manualLayout>
      </c:layout>
      <c:lineChart>
        <c:grouping val="standard"/>
        <c:varyColors val="0"/>
        <c:ser>
          <c:idx val="0"/>
          <c:order val="0"/>
          <c:tx>
            <c:strRef>
              <c:f>DATA!$C$59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DATA!$C$60:$C$67</c:f>
              <c:numCache>
                <c:formatCode>0.0_ </c:formatCode>
                <c:ptCount val="8"/>
                <c:pt idx="0">
                  <c:v>41.995155655818735</c:v>
                </c:pt>
                <c:pt idx="1">
                  <c:v>46.229556982505635</c:v>
                </c:pt>
                <c:pt idx="2">
                  <c:v>50.847503874198772</c:v>
                </c:pt>
                <c:pt idx="3">
                  <c:v>55.876398756587569</c:v>
                </c:pt>
                <c:pt idx="4">
                  <c:v>61.34508258229333</c:v>
                </c:pt>
                <c:pt idx="5">
                  <c:v>67.283896729222491</c:v>
                </c:pt>
                <c:pt idx="6">
                  <c:v>73.724750395689412</c:v>
                </c:pt>
                <c:pt idx="7">
                  <c:v>80.701194373025942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86-42DD-925F-564CF3F84778}"/>
            </c:ext>
          </c:extLst>
        </c:ser>
        <c:ser>
          <c:idx val="1"/>
          <c:order val="1"/>
          <c:tx>
            <c:strRef>
              <c:f>DATA!$D$59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DATA!$D$60:$D$67</c:f>
              <c:numCache>
                <c:formatCode>0.0_ </c:formatCode>
                <c:ptCount val="8"/>
                <c:pt idx="0">
                  <c:v>37.949971773502341</c:v>
                </c:pt>
                <c:pt idx="1">
                  <c:v>41.718858845983803</c:v>
                </c:pt>
                <c:pt idx="2">
                  <c:v>45.830274856994748</c:v>
                </c:pt>
                <c:pt idx="3">
                  <c:v>50.30887518523312</c:v>
                </c:pt>
                <c:pt idx="4">
                  <c:v>55.180621022479947</c:v>
                </c:pt>
                <c:pt idx="5">
                  <c:v>60.472835675270083</c:v>
                </c:pt>
                <c:pt idx="6">
                  <c:v>66.214265793053457</c:v>
                </c:pt>
                <c:pt idx="7">
                  <c:v>72.43514831496168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86-42DD-925F-564CF3F84778}"/>
            </c:ext>
          </c:extLst>
        </c:ser>
        <c:ser>
          <c:idx val="2"/>
          <c:order val="2"/>
          <c:tx>
            <c:strRef>
              <c:f>DATA!$E$59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DATA!$E$60:$E$67</c:f>
              <c:numCache>
                <c:formatCode>0.0_ </c:formatCode>
                <c:ptCount val="8"/>
                <c:pt idx="0">
                  <c:v>33.894238106497198</c:v>
                </c:pt>
                <c:pt idx="1">
                  <c:v>37.195195388826313</c:v>
                </c:pt>
                <c:pt idx="2">
                  <c:v>40.797054001297383</c:v>
                </c:pt>
                <c:pt idx="3">
                  <c:v>44.721649588123633</c:v>
                </c:pt>
                <c:pt idx="4">
                  <c:v>48.991985354788753</c:v>
                </c:pt>
                <c:pt idx="5">
                  <c:v>53.632282521057107</c:v>
                </c:pt>
                <c:pt idx="6">
                  <c:v>58.668035119103024</c:v>
                </c:pt>
                <c:pt idx="7">
                  <c:v>64.126069838032961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86-42DD-925F-564CF3F84778}"/>
            </c:ext>
          </c:extLst>
        </c:ser>
        <c:ser>
          <c:idx val="3"/>
          <c:order val="3"/>
          <c:tx>
            <c:strRef>
              <c:f>DATA!$F$59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DATA!$F$60:$F$67</c:f>
              <c:numCache>
                <c:formatCode>0.0_ </c:formatCode>
                <c:ptCount val="8"/>
                <c:pt idx="0">
                  <c:v>29.853904562034423</c:v>
                </c:pt>
                <c:pt idx="1">
                  <c:v>32.687827246452009</c:v>
                </c:pt>
                <c:pt idx="2">
                  <c:v>35.780651644383489</c:v>
                </c:pt>
                <c:pt idx="3">
                  <c:v>39.151332773764288</c:v>
                </c:pt>
                <c:pt idx="4">
                  <c:v>42.819849725144742</c:v>
                </c:pt>
                <c:pt idx="5">
                  <c:v>46.8072500242736</c:v>
                </c:pt>
                <c:pt idx="6">
                  <c:v>51.135697750307656</c:v>
                </c:pt>
                <c:pt idx="7">
                  <c:v>55.828526018237682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86-42DD-925F-564CF3F84778}"/>
            </c:ext>
          </c:extLst>
        </c:ser>
        <c:ser>
          <c:idx val="4"/>
          <c:order val="4"/>
          <c:tx>
            <c:strRef>
              <c:f>DATA!$G$59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DATA!$G$60:$G$67</c:f>
              <c:numCache>
                <c:formatCode>0.0_ </c:formatCode>
                <c:ptCount val="8"/>
                <c:pt idx="0">
                  <c:v>25.858669842247359</c:v>
                </c:pt>
                <c:pt idx="1">
                  <c:v>28.230252326074528</c:v>
                </c:pt>
                <c:pt idx="2">
                  <c:v>30.818642536849328</c:v>
                </c:pt>
                <c:pt idx="3">
                  <c:v>33.639868010332009</c:v>
                </c:pt>
                <c:pt idx="4">
                  <c:v>36.710832016429421</c:v>
                </c:pt>
                <c:pt idx="5">
                  <c:v>40.049351603209587</c:v>
                </c:pt>
                <c:pt idx="6">
                  <c:v>43.674198802409414</c:v>
                </c:pt>
                <c:pt idx="7">
                  <c:v>47.605145510965528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86-42DD-925F-564CF3F8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389264"/>
        <c:axId val="299388872"/>
      </c:lineChart>
      <c:catAx>
        <c:axId val="299389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375"/>
              <c:y val="0.940092165898617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8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38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冷凍能力(kcal/h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78801843317972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92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86746089621216"/>
          <c:y val="0.13568868407578086"/>
          <c:w val="9.9991314821339328E-2"/>
          <c:h val="0.15514592933947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0" b="0" i="0" u="none" strike="noStrike" baseline="0">
              <a:solidFill>
                <a:srgbClr val="000000"/>
              </a:solidFill>
              <a:latin typeface="+mn-ea"/>
              <a:ea typeface="+mn-ea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4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冷蔵庫条件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7187500000000001"/>
          <c:y val="4.37710437710437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1279461279461279"/>
          <c:w val="0.82708333333333328"/>
          <c:h val="0.777777777777777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DATA!$Q$60:$Q$67</c:f>
              <c:numCache>
                <c:formatCode>0.000_ </c:formatCode>
                <c:ptCount val="8"/>
                <c:pt idx="0">
                  <c:v>1.9535901640064546</c:v>
                </c:pt>
                <c:pt idx="1">
                  <c:v>2.0490049466401898</c:v>
                </c:pt>
                <c:pt idx="2">
                  <c:v>2.1536832137671209</c:v>
                </c:pt>
                <c:pt idx="3">
                  <c:v>2.2677843555718558</c:v>
                </c:pt>
                <c:pt idx="4">
                  <c:v>2.3915375999948436</c:v>
                </c:pt>
                <c:pt idx="5">
                  <c:v>2.5252323864916328</c:v>
                </c:pt>
                <c:pt idx="6">
                  <c:v>2.6692116602211398</c:v>
                </c:pt>
                <c:pt idx="7">
                  <c:v>2.8238673053126093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4-49A2-89C4-4D7D0061CBC2}"/>
            </c:ext>
          </c:extLst>
        </c:ser>
        <c:ser>
          <c:idx val="1"/>
          <c:order val="1"/>
          <c:tx>
            <c:strRef>
              <c:f>DATA!$R$59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DATA!$R$60:$R$67</c:f>
              <c:numCache>
                <c:formatCode>0.000_ </c:formatCode>
                <c:ptCount val="8"/>
                <c:pt idx="0">
                  <c:v>1.6773599604987885</c:v>
                </c:pt>
                <c:pt idx="1">
                  <c:v>1.7499313921394892</c:v>
                </c:pt>
                <c:pt idx="2">
                  <c:v>1.8304442008961626</c:v>
                </c:pt>
                <c:pt idx="3">
                  <c:v>1.9189160231049236</c:v>
                </c:pt>
                <c:pt idx="4">
                  <c:v>2.0154404416681992</c:v>
                </c:pt>
                <c:pt idx="5">
                  <c:v>2.1201738451939254</c:v>
                </c:pt>
                <c:pt idx="6">
                  <c:v>2.2333261367595183</c:v>
                </c:pt>
                <c:pt idx="7">
                  <c:v>2.3551541864033925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4-49A2-89C4-4D7D0061CBC2}"/>
            </c:ext>
          </c:extLst>
        </c:ser>
        <c:ser>
          <c:idx val="2"/>
          <c:order val="2"/>
          <c:tx>
            <c:strRef>
              <c:f>DATA!$S$59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DATA!$S$60:$S$67</c:f>
              <c:numCache>
                <c:formatCode>0.000_ </c:formatCode>
                <c:ptCount val="8"/>
                <c:pt idx="0">
                  <c:v>1.4269308243122687</c:v>
                </c:pt>
                <c:pt idx="1">
                  <c:v>1.4807823726814933</c:v>
                </c:pt>
                <c:pt idx="2">
                  <c:v>1.5414879870666105</c:v>
                </c:pt>
                <c:pt idx="3">
                  <c:v>1.608954112892206</c:v>
                </c:pt>
                <c:pt idx="4">
                  <c:v>1.6831695363130668</c:v>
                </c:pt>
                <c:pt idx="5">
                  <c:v>1.7641889732282661</c:v>
                </c:pt>
                <c:pt idx="6">
                  <c:v>1.8521214607380667</c:v>
                </c:pt>
                <c:pt idx="7">
                  <c:v>1.9471221007255937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4-49A2-89C4-4D7D0061CBC2}"/>
            </c:ext>
          </c:extLst>
        </c:ser>
        <c:ser>
          <c:idx val="3"/>
          <c:order val="3"/>
          <c:tx>
            <c:strRef>
              <c:f>DATA!$T$59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DATA!$T$60:$T$67</c:f>
              <c:numCache>
                <c:formatCode>0.000_ </c:formatCode>
                <c:ptCount val="8"/>
                <c:pt idx="0">
                  <c:v>1.1998353315068231</c:v>
                </c:pt>
                <c:pt idx="1">
                  <c:v>1.2383188968319403</c:v>
                </c:pt>
                <c:pt idx="2">
                  <c:v>1.2827248010407786</c:v>
                </c:pt>
                <c:pt idx="3">
                  <c:v>1.3328741061974365</c:v>
                </c:pt>
                <c:pt idx="4">
                  <c:v>1.3886756982015653</c:v>
                </c:pt>
                <c:pt idx="5">
                  <c:v>1.4501070289968572</c:v>
                </c:pt>
                <c:pt idx="6">
                  <c:v>1.5172005589732833</c:v>
                </c:pt>
                <c:pt idx="7">
                  <c:v>1.590034110543352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04-49A2-89C4-4D7D0061CBC2}"/>
            </c:ext>
          </c:extLst>
        </c:ser>
        <c:ser>
          <c:idx val="4"/>
          <c:order val="4"/>
          <c:tx>
            <c:strRef>
              <c:f>DATA!$U$59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DATA!$U$60:$U$67</c:f>
              <c:numCache>
                <c:formatCode>0.000_ </c:formatCode>
                <c:ptCount val="8"/>
                <c:pt idx="0">
                  <c:v>0.99417837385682717</c:v>
                </c:pt>
                <c:pt idx="1">
                  <c:v>1.0200535194145359</c:v>
                </c:pt>
                <c:pt idx="2">
                  <c:v>1.051024169312798</c:v>
                </c:pt>
                <c:pt idx="3">
                  <c:v>1.0868485082856389</c:v>
                </c:pt>
                <c:pt idx="4">
                  <c:v>1.1273763339888538</c:v>
                </c:pt>
                <c:pt idx="5">
                  <c:v>1.1725275315417463</c:v>
                </c:pt>
                <c:pt idx="6">
                  <c:v>1.2222770213311225</c:v>
                </c:pt>
                <c:pt idx="7">
                  <c:v>1.2766440836632951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04-49A2-89C4-4D7D0061C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048"/>
        <c:axId val="299392400"/>
      </c:scatterChart>
      <c:valAx>
        <c:axId val="299390048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400"/>
                  <a:t>蒸発温度</a:t>
                </a:r>
              </a:p>
            </c:rich>
          </c:tx>
          <c:layout>
            <c:manualLayout>
              <c:xMode val="edge"/>
              <c:yMode val="edge"/>
              <c:x val="0.45416666666666666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400"/>
        <c:crosses val="autoZero"/>
        <c:crossBetween val="midCat"/>
        <c:majorUnit val="2"/>
      </c:valAx>
      <c:valAx>
        <c:axId val="29939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ＣＯＰ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6969696969696972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048"/>
        <c:crossesAt val="-32"/>
        <c:crossBetween val="midCat"/>
        <c:majorUnit val="0.1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51730890558547"/>
          <c:y val="0.15937149270482603"/>
          <c:w val="6.6666666666666652E-2"/>
          <c:h val="0.221661054994388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ja-JP" altLang="en-US" sz="1400"/>
              <a:t>冷蔵庫条件　ＣＯＰ　比較　</a:t>
            </a:r>
            <a:endParaRPr lang="en-US" altLang="ja-JP" sz="1400"/>
          </a:p>
          <a:p>
            <a:pPr>
              <a:defRPr lang="ja-JP"/>
            </a:pPr>
            <a:r>
              <a:rPr lang="ja-JP" altLang="en-US" sz="1400"/>
              <a:t>凝縮温度　５５℃、蒸発温度</a:t>
            </a:r>
            <a:r>
              <a:rPr lang="en-US" altLang="ja-JP" sz="1400"/>
              <a:t>-</a:t>
            </a:r>
            <a:r>
              <a:rPr lang="ja-JP" altLang="en-US" sz="1400"/>
              <a:t>３２℃を１００％とした場合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DATA!$Q$72</c:f>
              <c:strCache>
                <c:ptCount val="1"/>
                <c:pt idx="0">
                  <c:v>35.0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DATA!$Q$73:$Q$80</c:f>
              <c:numCache>
                <c:formatCode>0.0%</c:formatCode>
                <c:ptCount val="8"/>
                <c:pt idx="0">
                  <c:v>1.9650298330546803</c:v>
                </c:pt>
                <c:pt idx="1">
                  <c:v>2.0610033375512447</c:v>
                </c:pt>
                <c:pt idx="2">
                  <c:v>2.1662945708747388</c:v>
                </c:pt>
                <c:pt idx="3">
                  <c:v>2.2810638565534136</c:v>
                </c:pt>
                <c:pt idx="4">
                  <c:v>2.4055417648214221</c:v>
                </c:pt>
                <c:pt idx="5">
                  <c:v>2.5400194300095436</c:v>
                </c:pt>
                <c:pt idx="6">
                  <c:v>2.6848418054661245</c:v>
                </c:pt>
                <c:pt idx="7">
                  <c:v>2.8404030700825502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6-4086-B4DB-1D09CDBBD118}"/>
            </c:ext>
          </c:extLst>
        </c:ser>
        <c:ser>
          <c:idx val="1"/>
          <c:order val="1"/>
          <c:tx>
            <c:strRef>
              <c:f>DATA!$R$72</c:f>
              <c:strCache>
                <c:ptCount val="1"/>
                <c:pt idx="0">
                  <c:v>40.0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DATA!$R$73:$R$80</c:f>
              <c:numCache>
                <c:formatCode>0.0%</c:formatCode>
                <c:ptCount val="8"/>
                <c:pt idx="0">
                  <c:v>1.6871821039433987</c:v>
                </c:pt>
                <c:pt idx="1">
                  <c:v>1.7601784932725755</c:v>
                </c:pt>
                <c:pt idx="2">
                  <c:v>1.8411627621662257</c:v>
                </c:pt>
                <c:pt idx="3">
                  <c:v>1.9301526502338393</c:v>
                </c:pt>
                <c:pt idx="4">
                  <c:v>2.0272422883727357</c:v>
                </c:pt>
                <c:pt idx="5">
                  <c:v>2.1325889809581136</c:v>
                </c:pt>
                <c:pt idx="6">
                  <c:v>2.2464038602001839</c:v>
                </c:pt>
                <c:pt idx="7">
                  <c:v>2.368945300295338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E6-4086-B4DB-1D09CDBBD118}"/>
            </c:ext>
          </c:extLst>
        </c:ser>
        <c:ser>
          <c:idx val="2"/>
          <c:order val="2"/>
          <c:tx>
            <c:strRef>
              <c:f>DATA!$S$72</c:f>
              <c:strCache>
                <c:ptCount val="1"/>
                <c:pt idx="0">
                  <c:v>45.0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DATA!$S$73:$S$80</c:f>
              <c:numCache>
                <c:formatCode>0.0%</c:formatCode>
                <c:ptCount val="8"/>
                <c:pt idx="0">
                  <c:v>1.435286525874242</c:v>
                </c:pt>
                <c:pt idx="1">
                  <c:v>1.489453413613222</c:v>
                </c:pt>
                <c:pt idx="2">
                  <c:v>1.550514502831664</c:v>
                </c:pt>
                <c:pt idx="3">
                  <c:v>1.6183756911251355</c:v>
                </c:pt>
                <c:pt idx="4">
                  <c:v>1.6930256989833317</c:v>
                </c:pt>
                <c:pt idx="5">
                  <c:v>1.7745195627060875</c:v>
                </c:pt>
                <c:pt idx="6">
                  <c:v>1.8629669578839512</c:v>
                </c:pt>
                <c:pt idx="7">
                  <c:v>1.9585238946326156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E6-4086-B4DB-1D09CDBBD118}"/>
            </c:ext>
          </c:extLst>
        </c:ser>
        <c:ser>
          <c:idx val="3"/>
          <c:order val="3"/>
          <c:tx>
            <c:strRef>
              <c:f>DATA!$T$72</c:f>
              <c:strCache>
                <c:ptCount val="1"/>
                <c:pt idx="0">
                  <c:v>50.0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DATA!$T$73:$T$80</c:f>
              <c:numCache>
                <c:formatCode>0.0%</c:formatCode>
                <c:ptCount val="8"/>
                <c:pt idx="0">
                  <c:v>1.2068612263734604</c:v>
                </c:pt>
                <c:pt idx="1">
                  <c:v>1.2455701405251771</c:v>
                </c:pt>
                <c:pt idx="2">
                  <c:v>1.2902360730947717</c:v>
                </c:pt>
                <c:pt idx="3">
                  <c:v>1.3406790383366207</c:v>
                </c:pt>
                <c:pt idx="4">
                  <c:v>1.3968073886120864</c:v>
                </c:pt>
                <c:pt idx="5">
                  <c:v>1.4585984438298483</c:v>
                </c:pt>
                <c:pt idx="6">
                  <c:v>1.5260848544587002</c:v>
                </c:pt>
                <c:pt idx="7">
                  <c:v>1.5993448986170913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E6-4086-B4DB-1D09CDBBD118}"/>
            </c:ext>
          </c:extLst>
        </c:ser>
        <c:ser>
          <c:idx val="4"/>
          <c:order val="4"/>
          <c:tx>
            <c:strRef>
              <c:f>DATA!$U$72</c:f>
              <c:strCache>
                <c:ptCount val="1"/>
                <c:pt idx="0">
                  <c:v>55.0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DATA!$U$73:$U$80</c:f>
              <c:numCache>
                <c:formatCode>0.0%</c:formatCode>
                <c:ptCount val="8"/>
                <c:pt idx="0">
                  <c:v>1</c:v>
                </c:pt>
                <c:pt idx="1">
                  <c:v>1.0260266630597972</c:v>
                </c:pt>
                <c:pt idx="2">
                  <c:v>1.0571786682860969</c:v>
                </c:pt>
                <c:pt idx="3">
                  <c:v>1.0932127844114192</c:v>
                </c:pt>
                <c:pt idx="4">
                  <c:v>1.1339779295492991</c:v>
                </c:pt>
                <c:pt idx="5">
                  <c:v>1.1793935196890568</c:v>
                </c:pt>
                <c:pt idx="6">
                  <c:v>1.2294343283584079</c:v>
                </c:pt>
                <c:pt idx="7">
                  <c:v>1.2841197487636622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6-4086-B4DB-1D09CDBB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1616"/>
        <c:axId val="299256072"/>
      </c:scatterChart>
      <c:valAx>
        <c:axId val="299391616"/>
        <c:scaling>
          <c:orientation val="minMax"/>
          <c:max val="-18"/>
          <c:min val="-3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蒸発温度　℃</a:t>
                </a:r>
              </a:p>
            </c:rich>
          </c:tx>
          <c:overlay val="0"/>
        </c:title>
        <c:numFmt formatCode="0_ 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256072"/>
        <c:crosses val="autoZero"/>
        <c:crossBetween val="midCat"/>
        <c:majorUnit val="2"/>
      </c:valAx>
      <c:valAx>
        <c:axId val="299256072"/>
        <c:scaling>
          <c:orientation val="minMax"/>
          <c:max val="3"/>
          <c:min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比率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391616"/>
        <c:crossesAt val="-40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91434394157381393"/>
          <c:y val="0.21374136212968151"/>
          <c:w val="6.623135520735543E-2"/>
          <c:h val="0.2546199602221774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3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5"/>
  <sheetViews>
    <sheetView zoomScale="71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76" workbookViewId="0"/>
  </sheetViews>
  <pageMargins left="0.37" right="0.21" top="0.83" bottom="0.53" header="0.56999999999999995" footer="0.21"/>
  <pageSetup paperSize="9" orientation="landscape" r:id="rId1"/>
  <headerFooter alignWithMargins="0">
    <oddHeader>&amp;CCQN60L6C</oddHeader>
    <oddFooter>- &amp;P -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zoomScale="78" workbookViewId="0"/>
  </sheetViews>
  <pageMargins left="0.78700000000000003" right="0.21" top="0.98399999999999999" bottom="0.52" header="0.5" footer="0.23"/>
  <pageSetup paperSize="9" orientation="landscape" horizontalDpi="4294967292" r:id="rId1"/>
  <headerFooter alignWithMargins="0">
    <oddHeader>&amp;CCQN60L6C</oddHeader>
    <oddFooter>- &amp;P -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2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76" workbookViewId="0"/>
  </sheetViews>
  <pageMargins left="0.78700000000000003" right="0.78700000000000003" top="0.8" bottom="0.56999999999999995" header="0.5" footer="0.27"/>
  <pageSetup paperSize="9" orientation="landscape" horizontalDpi="4294967292" r:id="rId1"/>
  <headerFooter alignWithMargins="0">
    <oddHeader>&amp;A</oddHeader>
    <oddFooter>- &amp;P -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1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6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0.85646</cdr:x>
      <cdr:y>0.06994</cdr:y>
    </cdr:from>
    <cdr:to>
      <cdr:x>0.96908</cdr:x>
      <cdr:y>0.1122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31463" y="39507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Cond.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01349" cy="58481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0.05978</cdr:y>
    </cdr:from>
    <cdr:to>
      <cdr:x>0.9879</cdr:x>
      <cdr:y>0.10204</cdr:y>
    </cdr:to>
    <cdr:sp macro="" textlink="">
      <cdr:nvSpPr>
        <cdr:cNvPr id="3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2" y="33769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1042" cy="6278451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0.8875</cdr:x>
      <cdr:y>0.03362</cdr:y>
    </cdr:from>
    <cdr:to>
      <cdr:x>1</cdr:x>
      <cdr:y>0.07582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23522" y="19019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6352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0.88117</cdr:x>
      <cdr:y>0.0949</cdr:y>
    </cdr:from>
    <cdr:to>
      <cdr:x>0.96358</cdr:x>
      <cdr:y>0.1531</cdr:y>
    </cdr:to>
    <cdr:sp macro="" textlink="">
      <cdr:nvSpPr>
        <cdr:cNvPr id="10241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4744" y="589386"/>
          <a:ext cx="828175" cy="3613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(℃)</a:t>
          </a:r>
        </a:p>
        <a:p xmlns:a="http://schemas.openxmlformats.org/drawingml/2006/main">
          <a:pPr algn="ctr" rtl="0">
            <a:defRPr sz="1000"/>
          </a:pPr>
          <a:endParaRPr lang="en-US" altLang="ja-JP" sz="1100" b="0" i="0" strike="noStrike">
            <a:solidFill>
              <a:srgbClr val="000000"/>
            </a:solidFill>
            <a:latin typeface="明朝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7543800" cy="47396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0.89143</cdr:x>
      <cdr:y>0.03713</cdr:y>
    </cdr:from>
    <cdr:to>
      <cdr:x>0.99193</cdr:x>
      <cdr:y>0.10138</cdr:y>
    </cdr:to>
    <cdr:sp macro="" textlink="">
      <cdr:nvSpPr>
        <cdr:cNvPr id="11265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8277" y="225658"/>
          <a:ext cx="971621" cy="3904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0.07806</cdr:y>
    </cdr:from>
    <cdr:to>
      <cdr:x>0.9879</cdr:x>
      <cdr:y>0.12032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1" y="44098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9494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0.8805</cdr:x>
      <cdr:y>0.05925</cdr:y>
    </cdr:from>
    <cdr:to>
      <cdr:x>0.993</cdr:x>
      <cdr:y>0.09775</cdr:y>
    </cdr:to>
    <cdr:sp macro="" textlink="">
      <cdr:nvSpPr>
        <cdr:cNvPr id="12289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51292" y="367396"/>
          <a:ext cx="1028700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凝縮温度</a:t>
          </a:r>
          <a:r>
            <a:rPr lang="en-US" altLang="ja-JP" sz="1200" b="0" i="0" strike="noStrike">
              <a:solidFill>
                <a:srgbClr val="000000"/>
              </a:solidFill>
              <a:latin typeface="+mn-ea"/>
              <a:ea typeface="+mn-ea"/>
            </a:rPr>
            <a:t>(℃</a:t>
          </a: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）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7581900" cy="46863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0.88136</cdr:x>
      <cdr:y>0.03651</cdr:y>
    </cdr:from>
    <cdr:to>
      <cdr:x>0.97664</cdr:x>
      <cdr:y>0.12981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067560" y="206565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ja-JP" altLang="en-US" sz="1100"/>
            <a:t>凝縮温度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0.89514</cdr:x>
      <cdr:y>0.01925</cdr:y>
    </cdr:from>
    <cdr:to>
      <cdr:x>0.99043</cdr:x>
      <cdr:y>0.11256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3513" y="108879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200"/>
            <a:t>凝縮温度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0"/>
  <sheetViews>
    <sheetView showGridLines="0" tabSelected="1" zoomScaleNormal="100" workbookViewId="0">
      <selection activeCell="H7" sqref="H7"/>
    </sheetView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63</v>
      </c>
      <c r="C1" s="3"/>
      <c r="D1" s="3"/>
      <c r="E1" s="3"/>
      <c r="F1" s="4"/>
    </row>
    <row r="2" spans="1:21">
      <c r="N2" s="1" t="s">
        <v>51</v>
      </c>
      <c r="Q2" s="1" t="s">
        <v>52</v>
      </c>
    </row>
    <row r="3" spans="1:21">
      <c r="B3" s="5" t="s">
        <v>64</v>
      </c>
      <c r="C3" s="6"/>
      <c r="D3" s="206" t="s">
        <v>26</v>
      </c>
      <c r="E3" s="207"/>
      <c r="F3" s="7">
        <v>2</v>
      </c>
      <c r="G3" s="1" t="s">
        <v>59</v>
      </c>
      <c r="H3" s="8"/>
      <c r="I3" s="9"/>
      <c r="K3" s="10" t="s">
        <v>66</v>
      </c>
      <c r="N3" s="1" t="s">
        <v>35</v>
      </c>
      <c r="Q3" s="1" t="s">
        <v>36</v>
      </c>
    </row>
    <row r="4" spans="1:21">
      <c r="B4" s="215" t="s">
        <v>43</v>
      </c>
      <c r="C4" s="216"/>
      <c r="D4" s="11">
        <v>9</v>
      </c>
      <c r="E4" s="12" t="s">
        <v>1</v>
      </c>
      <c r="G4" s="8" t="s">
        <v>49</v>
      </c>
      <c r="H4" s="8"/>
      <c r="N4" s="13" t="s">
        <v>27</v>
      </c>
      <c r="O4" s="14">
        <f>B21</f>
        <v>1.3330776041252375</v>
      </c>
      <c r="Q4" s="15" t="s">
        <v>30</v>
      </c>
      <c r="R4" s="208">
        <f>B22</f>
        <v>13.607549055446825</v>
      </c>
      <c r="S4" s="208"/>
    </row>
    <row r="5" spans="1:21">
      <c r="B5" s="16" t="s">
        <v>44</v>
      </c>
      <c r="C5" s="17"/>
      <c r="D5" s="11">
        <v>1320</v>
      </c>
      <c r="E5" s="12" t="s">
        <v>3</v>
      </c>
      <c r="G5" s="5" t="s">
        <v>48</v>
      </c>
      <c r="H5" s="6"/>
      <c r="I5" s="18">
        <v>60.557939283853152</v>
      </c>
      <c r="J5" s="19" t="s">
        <v>0</v>
      </c>
      <c r="K5" s="20">
        <f>I5/0.86</f>
        <v>70.416208469596683</v>
      </c>
      <c r="L5" s="21" t="s">
        <v>19</v>
      </c>
      <c r="N5" s="13" t="s">
        <v>28</v>
      </c>
      <c r="O5" s="22">
        <f>C21</f>
        <v>9.3661805150682901E-3</v>
      </c>
      <c r="Q5" s="15" t="s">
        <v>31</v>
      </c>
      <c r="R5" s="213">
        <f>C22</f>
        <v>-0.15236332750582937</v>
      </c>
      <c r="S5" s="214"/>
    </row>
    <row r="6" spans="1:21">
      <c r="B6" s="23" t="s">
        <v>45</v>
      </c>
      <c r="C6" s="17"/>
      <c r="D6" s="11">
        <v>3</v>
      </c>
      <c r="E6" s="12" t="s">
        <v>60</v>
      </c>
      <c r="G6" s="24" t="s">
        <v>50</v>
      </c>
      <c r="H6" s="25"/>
      <c r="I6" s="26">
        <v>38.266424167458936</v>
      </c>
      <c r="J6" s="21" t="s">
        <v>2</v>
      </c>
      <c r="N6" s="13" t="s">
        <v>29</v>
      </c>
      <c r="O6" s="27">
        <f>E21</f>
        <v>-9.2717508984207636E-2</v>
      </c>
      <c r="Q6" s="15" t="s">
        <v>32</v>
      </c>
      <c r="R6" s="191">
        <f>E22</f>
        <v>0.82021012776398305</v>
      </c>
      <c r="S6" s="192"/>
    </row>
    <row r="7" spans="1:21">
      <c r="B7" s="23" t="s">
        <v>46</v>
      </c>
      <c r="C7" s="17"/>
      <c r="D7" s="11">
        <v>3</v>
      </c>
      <c r="E7" s="12" t="s">
        <v>60</v>
      </c>
      <c r="G7" s="5" t="s">
        <v>4</v>
      </c>
      <c r="H7" s="6"/>
      <c r="I7" s="28">
        <f>I5/I6/0.86</f>
        <v>1.8401564818663494</v>
      </c>
      <c r="J7" s="21"/>
      <c r="Q7" s="15" t="s">
        <v>34</v>
      </c>
      <c r="R7" s="193">
        <f>G22</f>
        <v>1.7430820054676634E-2</v>
      </c>
      <c r="S7" s="194"/>
    </row>
    <row r="8" spans="1:21">
      <c r="B8" s="29" t="s">
        <v>47</v>
      </c>
      <c r="C8" s="25"/>
      <c r="D8" s="30">
        <v>9</v>
      </c>
      <c r="E8" s="12" t="s">
        <v>60</v>
      </c>
      <c r="Q8" s="15" t="s">
        <v>33</v>
      </c>
      <c r="R8" s="195">
        <f>I22</f>
        <v>-2.6095679300238771E-3</v>
      </c>
      <c r="S8" s="196"/>
    </row>
    <row r="9" spans="1:21">
      <c r="B9" s="31"/>
      <c r="C9" s="21"/>
      <c r="D9" s="30" t="s">
        <v>21</v>
      </c>
      <c r="E9" s="15"/>
      <c r="H9" s="1" t="s">
        <v>65</v>
      </c>
    </row>
    <row r="10" spans="1:21">
      <c r="Q10" s="4"/>
    </row>
    <row r="11" spans="1:21" ht="15.75" customHeight="1">
      <c r="A11" s="205" t="s">
        <v>42</v>
      </c>
      <c r="B11" s="200"/>
      <c r="C11" s="200"/>
      <c r="D11" s="200"/>
      <c r="E11" s="200"/>
      <c r="F11" s="209" t="s">
        <v>41</v>
      </c>
      <c r="G11" s="200"/>
      <c r="H11" s="200"/>
      <c r="I11" s="200"/>
      <c r="J11" s="201"/>
      <c r="K11" s="209" t="s">
        <v>53</v>
      </c>
      <c r="L11" s="200"/>
      <c r="M11" s="200"/>
      <c r="N11" s="200"/>
      <c r="O11" s="201"/>
      <c r="Q11" s="205" t="s">
        <v>61</v>
      </c>
      <c r="R11" s="200"/>
      <c r="S11" s="200"/>
      <c r="T11" s="200"/>
      <c r="U11" s="201"/>
    </row>
    <row r="12" spans="1:21">
      <c r="A12" s="32"/>
      <c r="B12" s="33"/>
      <c r="C12" s="34" t="s">
        <v>55</v>
      </c>
      <c r="D12" s="34"/>
      <c r="E12" s="34"/>
      <c r="F12" s="35"/>
      <c r="G12" s="33"/>
      <c r="H12" s="5" t="s">
        <v>55</v>
      </c>
      <c r="I12" s="34"/>
      <c r="J12" s="6"/>
      <c r="K12" s="35"/>
      <c r="L12" s="33"/>
      <c r="M12" s="5" t="s">
        <v>55</v>
      </c>
      <c r="N12" s="34"/>
      <c r="O12" s="6"/>
      <c r="P12" s="36"/>
      <c r="Q12" s="37"/>
      <c r="R12" s="38"/>
      <c r="S12" s="5" t="s">
        <v>57</v>
      </c>
      <c r="T12" s="34"/>
      <c r="U12" s="6"/>
    </row>
    <row r="13" spans="1:21" ht="15.6">
      <c r="A13" s="39"/>
      <c r="B13" s="40"/>
      <c r="C13" s="41">
        <v>35</v>
      </c>
      <c r="D13" s="41">
        <v>45</v>
      </c>
      <c r="E13" s="41">
        <v>55</v>
      </c>
      <c r="F13" s="42"/>
      <c r="G13" s="40"/>
      <c r="H13" s="43">
        <f>C13</f>
        <v>35</v>
      </c>
      <c r="I13" s="43">
        <f>D13</f>
        <v>45</v>
      </c>
      <c r="J13" s="44">
        <f>E13</f>
        <v>55</v>
      </c>
      <c r="K13" s="42"/>
      <c r="L13" s="40"/>
      <c r="M13" s="43">
        <v>35</v>
      </c>
      <c r="N13" s="43">
        <v>45</v>
      </c>
      <c r="O13" s="43">
        <v>55</v>
      </c>
      <c r="P13" s="45"/>
      <c r="Q13" s="46"/>
      <c r="R13" s="47"/>
      <c r="S13" s="48">
        <f>IF(C13="","",C13)</f>
        <v>35</v>
      </c>
      <c r="T13" s="48">
        <f t="shared" ref="T13:U13" si="0">IF(D13="","",D13)</f>
        <v>45</v>
      </c>
      <c r="U13" s="48">
        <f t="shared" si="0"/>
        <v>55</v>
      </c>
    </row>
    <row r="14" spans="1:21" ht="15.6">
      <c r="A14" s="218" t="s">
        <v>58</v>
      </c>
      <c r="B14" s="49">
        <v>-35</v>
      </c>
      <c r="C14" s="221">
        <v>53.328881345434553</v>
      </c>
      <c r="D14" s="221">
        <v>44.725103148353924</v>
      </c>
      <c r="E14" s="221">
        <v>36.118312671177719</v>
      </c>
      <c r="F14" s="218" t="s">
        <v>58</v>
      </c>
      <c r="G14" s="51">
        <f>IF(B14="","",B14)</f>
        <v>-35</v>
      </c>
      <c r="H14" s="222">
        <v>22.974852287715816</v>
      </c>
      <c r="I14" s="222">
        <v>25.269840951940697</v>
      </c>
      <c r="J14" s="222">
        <v>27.353683661748953</v>
      </c>
      <c r="K14" s="218" t="s">
        <v>58</v>
      </c>
      <c r="L14" s="51">
        <v>-35</v>
      </c>
      <c r="M14" s="53">
        <v>1.0956245219078622</v>
      </c>
      <c r="N14" s="53">
        <v>0.91886269724632264</v>
      </c>
      <c r="O14" s="53">
        <v>0.74203898626997011</v>
      </c>
      <c r="P14" s="45"/>
      <c r="Q14" s="218" t="s">
        <v>58</v>
      </c>
      <c r="R14" s="54">
        <f>IF(B14="","",B14)</f>
        <v>-35</v>
      </c>
      <c r="S14" s="55">
        <f>IF(C14="","",C14/H14)</f>
        <v>2.3211849494217822</v>
      </c>
      <c r="T14" s="55">
        <f t="shared" ref="T14:U19" si="1">IF(D14="","",D14/I14)</f>
        <v>1.7699004609255002</v>
      </c>
      <c r="U14" s="55">
        <f t="shared" si="1"/>
        <v>1.3204185994767905</v>
      </c>
    </row>
    <row r="15" spans="1:21" ht="15.6">
      <c r="A15" s="219"/>
      <c r="B15" s="49">
        <v>-25</v>
      </c>
      <c r="C15" s="221">
        <v>74.190209093796227</v>
      </c>
      <c r="D15" s="221">
        <v>65.582614978393224</v>
      </c>
      <c r="E15" s="221">
        <v>56.969748732129958</v>
      </c>
      <c r="F15" s="219"/>
      <c r="G15" s="51">
        <f t="shared" ref="G15:G19" si="2">IF(B15="","",B15)</f>
        <v>-25</v>
      </c>
      <c r="H15" s="222">
        <v>29.358355457071273</v>
      </c>
      <c r="I15" s="222">
        <v>33.203208696057622</v>
      </c>
      <c r="J15" s="222">
        <v>36.694742270957995</v>
      </c>
      <c r="K15" s="219"/>
      <c r="L15" s="51">
        <v>-25</v>
      </c>
      <c r="M15" s="56">
        <v>0.95303014229325811</v>
      </c>
      <c r="N15" s="56">
        <v>0.84245899355537046</v>
      </c>
      <c r="O15" s="56">
        <v>0.73182012025267396</v>
      </c>
      <c r="P15" s="45"/>
      <c r="Q15" s="219"/>
      <c r="R15" s="54">
        <f t="shared" ref="R15:R19" si="3">IF(B15="","",B15)</f>
        <v>-25</v>
      </c>
      <c r="S15" s="55">
        <f t="shared" ref="S15:S19" si="4">IF(C15="","",C15/H15)</f>
        <v>2.5270560267682405</v>
      </c>
      <c r="T15" s="55">
        <f t="shared" si="1"/>
        <v>1.9751890721989216</v>
      </c>
      <c r="U15" s="55">
        <f t="shared" si="1"/>
        <v>1.5525316491245285</v>
      </c>
    </row>
    <row r="16" spans="1:21" ht="15.6">
      <c r="A16" s="219"/>
      <c r="B16" s="49">
        <v>-15</v>
      </c>
      <c r="C16" s="221">
        <v>104.74899782402751</v>
      </c>
      <c r="D16" s="221">
        <v>96.134841007596592</v>
      </c>
      <c r="E16" s="221">
        <v>87.513152209540692</v>
      </c>
      <c r="F16" s="219"/>
      <c r="G16" s="51">
        <f t="shared" si="2"/>
        <v>-15</v>
      </c>
      <c r="H16" s="222">
        <v>34.6913364693402</v>
      </c>
      <c r="I16" s="222">
        <v>40.614662854169886</v>
      </c>
      <c r="J16" s="222">
        <v>46.042495865244213</v>
      </c>
      <c r="K16" s="219"/>
      <c r="L16" s="51">
        <v>-15</v>
      </c>
      <c r="M16" s="56">
        <v>0.87619842763603994</v>
      </c>
      <c r="N16" s="56">
        <v>0.80414322124020599</v>
      </c>
      <c r="O16" s="56">
        <v>0.73202501175514101</v>
      </c>
      <c r="P16" s="45"/>
      <c r="Q16" s="219"/>
      <c r="R16" s="54">
        <f t="shared" si="3"/>
        <v>-15</v>
      </c>
      <c r="S16" s="55">
        <f t="shared" si="4"/>
        <v>3.0194569735473715</v>
      </c>
      <c r="T16" s="55">
        <f t="shared" si="1"/>
        <v>2.3669983757535111</v>
      </c>
      <c r="U16" s="55">
        <f t="shared" si="1"/>
        <v>1.9007039163487476</v>
      </c>
    </row>
    <row r="17" spans="1:21" ht="15.6">
      <c r="A17" s="219"/>
      <c r="B17" s="49"/>
      <c r="C17" s="50"/>
      <c r="D17" s="50"/>
      <c r="E17" s="50"/>
      <c r="F17" s="219"/>
      <c r="G17" s="51" t="str">
        <f t="shared" si="2"/>
        <v/>
      </c>
      <c r="H17" s="52"/>
      <c r="I17" s="52"/>
      <c r="J17" s="52"/>
      <c r="K17" s="219"/>
      <c r="L17" s="51">
        <v>-20</v>
      </c>
      <c r="M17" s="56">
        <v>0.84526961208866414</v>
      </c>
      <c r="N17" s="56">
        <v>0.75771180417971484</v>
      </c>
      <c r="O17" s="56">
        <v>0.6667863875215928</v>
      </c>
      <c r="P17" s="45"/>
      <c r="Q17" s="219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219"/>
      <c r="B18" s="49"/>
      <c r="C18" s="57"/>
      <c r="D18" s="57"/>
      <c r="E18" s="57"/>
      <c r="F18" s="219"/>
      <c r="G18" s="51" t="str">
        <f t="shared" si="2"/>
        <v/>
      </c>
      <c r="H18" s="58"/>
      <c r="I18" s="58"/>
      <c r="J18" s="58"/>
      <c r="K18" s="219"/>
      <c r="L18" s="51">
        <v>-15</v>
      </c>
      <c r="M18" s="56">
        <v>0.86285114347676684</v>
      </c>
      <c r="N18" s="56">
        <v>0.77820435475792027</v>
      </c>
      <c r="O18" s="56">
        <v>0.69082702385327277</v>
      </c>
      <c r="P18" s="45"/>
      <c r="Q18" s="219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220"/>
      <c r="B19" s="49"/>
      <c r="C19" s="59"/>
      <c r="D19" s="60"/>
      <c r="E19" s="61"/>
      <c r="F19" s="220"/>
      <c r="G19" s="51" t="str">
        <f t="shared" si="2"/>
        <v/>
      </c>
      <c r="H19" s="58"/>
      <c r="I19" s="58"/>
      <c r="J19" s="58"/>
      <c r="K19" s="220"/>
      <c r="L19" s="51">
        <v>-10</v>
      </c>
      <c r="M19" s="56">
        <v>0.87548918516073793</v>
      </c>
      <c r="N19" s="56">
        <v>0.79285372664203291</v>
      </c>
      <c r="O19" s="56">
        <v>0.70798487686147449</v>
      </c>
      <c r="P19" s="45"/>
      <c r="Q19" s="220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67</v>
      </c>
      <c r="B21" s="65">
        <v>1.3330776041252375</v>
      </c>
      <c r="C21" s="66">
        <v>9.3661805150682901E-3</v>
      </c>
      <c r="D21" s="65" t="s">
        <v>68</v>
      </c>
      <c r="E21" s="67">
        <v>-9.2717508984207636E-2</v>
      </c>
      <c r="F21" s="68" t="s">
        <v>69</v>
      </c>
      <c r="G21" s="69"/>
      <c r="H21" s="70"/>
      <c r="I21" s="71"/>
      <c r="J21" s="71"/>
      <c r="K21" s="71"/>
    </row>
    <row r="22" spans="1:21">
      <c r="A22" s="64" t="s">
        <v>70</v>
      </c>
      <c r="B22" s="72">
        <v>13.607549055446825</v>
      </c>
      <c r="C22" s="73">
        <v>-0.15236332750582937</v>
      </c>
      <c r="D22" s="74" t="s">
        <v>71</v>
      </c>
      <c r="E22" s="75">
        <v>0.82021012776398305</v>
      </c>
      <c r="F22" s="76" t="s">
        <v>72</v>
      </c>
      <c r="G22" s="77">
        <v>1.7430820054676634E-2</v>
      </c>
      <c r="H22" s="70" t="s">
        <v>73</v>
      </c>
      <c r="I22" s="71">
        <v>-2.6095679300238771E-3</v>
      </c>
      <c r="J22" s="71" t="s">
        <v>74</v>
      </c>
      <c r="K22" s="71"/>
    </row>
    <row r="23" spans="1:21">
      <c r="A23" s="71" t="s">
        <v>62</v>
      </c>
      <c r="F23" s="62"/>
      <c r="G23" s="63"/>
      <c r="H23" s="78"/>
    </row>
    <row r="24" spans="1:21">
      <c r="A24" s="205" t="s">
        <v>42</v>
      </c>
      <c r="B24" s="200"/>
      <c r="C24" s="200"/>
      <c r="D24" s="200"/>
      <c r="E24" s="200"/>
      <c r="F24" s="209" t="s">
        <v>41</v>
      </c>
      <c r="G24" s="200"/>
      <c r="H24" s="200"/>
      <c r="I24" s="200"/>
      <c r="J24" s="201"/>
      <c r="K24" s="209" t="s">
        <v>53</v>
      </c>
      <c r="L24" s="200"/>
      <c r="M24" s="200"/>
      <c r="N24" s="200"/>
      <c r="O24" s="201"/>
      <c r="Q24" s="205" t="s">
        <v>61</v>
      </c>
      <c r="R24" s="200"/>
      <c r="S24" s="200"/>
      <c r="T24" s="200"/>
      <c r="U24" s="201"/>
    </row>
    <row r="25" spans="1:21">
      <c r="A25" s="32"/>
      <c r="B25" s="33"/>
      <c r="C25" s="34" t="s">
        <v>55</v>
      </c>
      <c r="D25" s="34"/>
      <c r="E25" s="34"/>
      <c r="F25" s="35"/>
      <c r="G25" s="33"/>
      <c r="H25" s="34" t="s">
        <v>54</v>
      </c>
      <c r="I25" s="34"/>
      <c r="J25" s="34"/>
      <c r="K25" s="35"/>
      <c r="L25" s="33"/>
      <c r="M25" s="5" t="s">
        <v>56</v>
      </c>
      <c r="N25" s="34"/>
      <c r="O25" s="6"/>
      <c r="Q25" s="37"/>
      <c r="R25" s="38"/>
      <c r="S25" s="5" t="s">
        <v>57</v>
      </c>
      <c r="T25" s="34"/>
      <c r="U25" s="6"/>
    </row>
    <row r="26" spans="1:21" ht="15.6">
      <c r="A26" s="39"/>
      <c r="B26" s="40"/>
      <c r="C26" s="43">
        <v>35</v>
      </c>
      <c r="D26" s="43">
        <v>45</v>
      </c>
      <c r="E26" s="79">
        <v>55</v>
      </c>
      <c r="F26" s="42"/>
      <c r="G26" s="40"/>
      <c r="H26" s="43">
        <v>35</v>
      </c>
      <c r="I26" s="43">
        <v>45</v>
      </c>
      <c r="J26" s="44">
        <v>55</v>
      </c>
      <c r="K26" s="42"/>
      <c r="L26" s="40"/>
      <c r="M26" s="43">
        <v>35</v>
      </c>
      <c r="N26" s="43">
        <v>45</v>
      </c>
      <c r="O26" s="44">
        <v>55</v>
      </c>
      <c r="P26" s="80"/>
      <c r="Q26" s="46"/>
      <c r="R26" s="47"/>
      <c r="S26" s="48">
        <f>IF(C26="","",C26)</f>
        <v>35</v>
      </c>
      <c r="T26" s="48">
        <f t="shared" ref="T26" si="5">IF(D26="","",D26)</f>
        <v>45</v>
      </c>
      <c r="U26" s="48">
        <f t="shared" ref="U26" si="6">IF(E26="","",E26)</f>
        <v>55</v>
      </c>
    </row>
    <row r="27" spans="1:21" ht="15.6">
      <c r="A27" s="218" t="s">
        <v>58</v>
      </c>
      <c r="B27" s="51">
        <v>-35</v>
      </c>
      <c r="C27" s="81">
        <v>49.148218822985378</v>
      </c>
      <c r="D27" s="82">
        <v>44.429355096667656</v>
      </c>
      <c r="E27" s="83">
        <v>38.760286908313113</v>
      </c>
      <c r="F27" s="218" t="s">
        <v>58</v>
      </c>
      <c r="G27" s="51">
        <v>-35</v>
      </c>
      <c r="H27" s="84">
        <v>23.098144708632134</v>
      </c>
      <c r="I27" s="84">
        <v>25.199458967135147</v>
      </c>
      <c r="J27" s="84">
        <v>27.300773225638157</v>
      </c>
      <c r="K27" s="218" t="s">
        <v>58</v>
      </c>
      <c r="L27" s="51">
        <v>-35</v>
      </c>
      <c r="M27" s="53">
        <v>1.0097341701536786</v>
      </c>
      <c r="N27" s="53">
        <v>0.9127866497171222</v>
      </c>
      <c r="O27" s="53">
        <v>0.79631748766407751</v>
      </c>
      <c r="P27" s="80"/>
      <c r="Q27" s="218"/>
      <c r="R27" s="54"/>
      <c r="S27" s="55"/>
      <c r="T27" s="55"/>
      <c r="U27" s="55">
        <f t="shared" ref="U27:U32" si="7">IF(E27="","",E27/J27)</f>
        <v>1.4197505172459117</v>
      </c>
    </row>
    <row r="28" spans="1:21" ht="15.6">
      <c r="A28" s="219"/>
      <c r="B28" s="51">
        <v>-25</v>
      </c>
      <c r="C28" s="85">
        <v>75.099432226033741</v>
      </c>
      <c r="D28" s="86">
        <v>66.501494990574457</v>
      </c>
      <c r="E28" s="87">
        <v>56.172251491727714</v>
      </c>
      <c r="F28" s="219"/>
      <c r="G28" s="51">
        <v>-25</v>
      </c>
      <c r="H28" s="88">
        <v>29.241039210724985</v>
      </c>
      <c r="I28" s="88">
        <v>33.085435474695657</v>
      </c>
      <c r="J28" s="88">
        <v>36.92983173866633</v>
      </c>
      <c r="K28" s="219"/>
      <c r="L28" s="51">
        <v>-25</v>
      </c>
      <c r="M28" s="56">
        <v>0.96470981083277008</v>
      </c>
      <c r="N28" s="56">
        <v>0.85426271212492422</v>
      </c>
      <c r="O28" s="56">
        <v>0.72157565649144995</v>
      </c>
      <c r="P28" s="80"/>
      <c r="Q28" s="219"/>
      <c r="R28" s="54"/>
      <c r="S28" s="55"/>
      <c r="T28" s="55"/>
      <c r="U28" s="55">
        <f t="shared" si="7"/>
        <v>1.5210535452538809</v>
      </c>
    </row>
    <row r="29" spans="1:21" ht="15.6">
      <c r="A29" s="219"/>
      <c r="B29" s="51">
        <v>-15</v>
      </c>
      <c r="C29" s="85">
        <v>112.198762490871</v>
      </c>
      <c r="D29" s="86">
        <v>98.055900080330318</v>
      </c>
      <c r="E29" s="87">
        <v>81.065188749398146</v>
      </c>
      <c r="F29" s="219"/>
      <c r="G29" s="51">
        <v>-15</v>
      </c>
      <c r="H29" s="88">
        <v>34.862020126813064</v>
      </c>
      <c r="I29" s="88">
        <v>40.4494983962514</v>
      </c>
      <c r="J29" s="88">
        <v>46.036976665689728</v>
      </c>
      <c r="K29" s="219"/>
      <c r="L29" s="51">
        <v>-15</v>
      </c>
      <c r="M29" s="56">
        <v>0.93851379315688788</v>
      </c>
      <c r="N29" s="56">
        <v>0.8202123863290498</v>
      </c>
      <c r="O29" s="56">
        <v>0.67808945568688417</v>
      </c>
      <c r="P29" s="80"/>
      <c r="Q29" s="219"/>
      <c r="R29" s="54"/>
      <c r="S29" s="55"/>
      <c r="T29" s="55"/>
      <c r="U29" s="55">
        <f t="shared" si="7"/>
        <v>1.7608712522126615</v>
      </c>
    </row>
    <row r="30" spans="1:21" ht="15.6">
      <c r="A30" s="219"/>
      <c r="B30" s="51"/>
      <c r="C30" s="85"/>
      <c r="D30" s="86"/>
      <c r="E30" s="87"/>
      <c r="F30" s="219"/>
      <c r="G30" s="51"/>
      <c r="H30" s="88"/>
      <c r="I30" s="88"/>
      <c r="J30" s="88"/>
      <c r="K30" s="219"/>
      <c r="L30" s="51"/>
      <c r="M30" s="56"/>
      <c r="N30" s="56"/>
      <c r="O30" s="56"/>
      <c r="P30" s="80"/>
      <c r="Q30" s="219"/>
      <c r="R30" s="54"/>
      <c r="S30" s="55"/>
      <c r="T30" s="55"/>
      <c r="U30" s="55" t="str">
        <f t="shared" si="7"/>
        <v/>
      </c>
    </row>
    <row r="31" spans="1:21" ht="15.6">
      <c r="A31" s="219"/>
      <c r="B31" s="51"/>
      <c r="C31" s="85"/>
      <c r="D31" s="86"/>
      <c r="E31" s="87"/>
      <c r="F31" s="219"/>
      <c r="G31" s="51"/>
      <c r="H31" s="88"/>
      <c r="I31" s="88"/>
      <c r="J31" s="88"/>
      <c r="K31" s="219"/>
      <c r="L31" s="51"/>
      <c r="M31" s="56"/>
      <c r="N31" s="56"/>
      <c r="O31" s="56"/>
      <c r="P31" s="80"/>
      <c r="Q31" s="219"/>
      <c r="R31" s="54"/>
      <c r="S31" s="55"/>
      <c r="T31" s="55"/>
      <c r="U31" s="55" t="str">
        <f t="shared" si="7"/>
        <v/>
      </c>
    </row>
    <row r="32" spans="1:21" ht="15.6">
      <c r="A32" s="220"/>
      <c r="B32" s="89"/>
      <c r="C32" s="85"/>
      <c r="D32" s="86"/>
      <c r="E32" s="87"/>
      <c r="F32" s="220"/>
      <c r="G32" s="51"/>
      <c r="H32" s="56"/>
      <c r="I32" s="56"/>
      <c r="J32" s="56"/>
      <c r="K32" s="220"/>
      <c r="L32" s="51"/>
      <c r="M32" s="56"/>
      <c r="N32" s="56"/>
      <c r="O32" s="56"/>
      <c r="P32" s="80"/>
      <c r="Q32" s="220"/>
      <c r="R32" s="54"/>
      <c r="S32" s="55"/>
      <c r="T32" s="55"/>
      <c r="U32" s="55" t="str">
        <f t="shared" si="7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17" t="s">
        <v>11</v>
      </c>
      <c r="D40" s="217"/>
      <c r="E40" s="217"/>
      <c r="F40" s="217"/>
      <c r="G40" s="217"/>
      <c r="H40" s="97"/>
      <c r="I40" s="200" t="s">
        <v>12</v>
      </c>
      <c r="J40" s="200"/>
      <c r="K40" s="200"/>
      <c r="L40" s="200"/>
      <c r="M40" s="200"/>
      <c r="N40" s="201"/>
      <c r="O40" s="97"/>
      <c r="P40" s="98"/>
      <c r="Q40" s="200" t="s">
        <v>18</v>
      </c>
      <c r="R40" s="200"/>
      <c r="S40" s="200"/>
      <c r="T40" s="200"/>
      <c r="U40" s="201"/>
    </row>
    <row r="41" spans="1:21">
      <c r="A41" s="99"/>
      <c r="B41" s="15"/>
      <c r="C41" s="210" t="s">
        <v>10</v>
      </c>
      <c r="D41" s="210"/>
      <c r="E41" s="210"/>
      <c r="F41" s="210"/>
      <c r="G41" s="210"/>
      <c r="H41" s="99"/>
      <c r="I41" s="210" t="s">
        <v>10</v>
      </c>
      <c r="J41" s="210"/>
      <c r="K41" s="210"/>
      <c r="L41" s="210"/>
      <c r="M41" s="210"/>
      <c r="O41" s="100"/>
      <c r="P41" s="101"/>
      <c r="Q41" s="202" t="s">
        <v>10</v>
      </c>
      <c r="R41" s="203"/>
      <c r="S41" s="203"/>
      <c r="T41" s="203"/>
      <c r="U41" s="204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55.930240442462029</v>
      </c>
      <c r="D43" s="111">
        <v>53.200742695109525</v>
      </c>
      <c r="E43" s="111">
        <v>50.197600973276998</v>
      </c>
      <c r="F43" s="111">
        <v>46.905870304000445</v>
      </c>
      <c r="G43" s="112">
        <v>43.310620137442989</v>
      </c>
      <c r="H43" s="109"/>
      <c r="I43" s="113">
        <v>-32</v>
      </c>
      <c r="J43" s="114">
        <v>24.995813985790491</v>
      </c>
      <c r="K43" s="115">
        <v>26.307933415862141</v>
      </c>
      <c r="L43" s="115">
        <v>27.620052845933802</v>
      </c>
      <c r="M43" s="115">
        <v>28.932172276005453</v>
      </c>
      <c r="N43" s="115">
        <v>30.244291706077099</v>
      </c>
      <c r="O43" s="116"/>
      <c r="P43" s="117">
        <v>-32</v>
      </c>
      <c r="Q43" s="118">
        <f>C43/J43/0.86</f>
        <v>2.60184218614202</v>
      </c>
      <c r="R43" s="118">
        <f t="shared" ref="R43:R50" si="8">D43/K43/0.86</f>
        <v>2.3514324647767615</v>
      </c>
      <c r="S43" s="118">
        <f t="shared" ref="S43:S50" si="9">E43/L43/0.86</f>
        <v>2.1132944163027521</v>
      </c>
      <c r="T43" s="118">
        <f t="shared" ref="T43:T50" si="10">F43/M43/0.86</f>
        <v>1.8851577799102206</v>
      </c>
      <c r="U43" s="118">
        <f t="shared" ref="U43:U50" si="11">G43/N43/0.86</f>
        <v>1.6651468216136069</v>
      </c>
    </row>
    <row r="44" spans="1:21">
      <c r="A44" s="119" t="s">
        <v>6</v>
      </c>
      <c r="B44" s="120">
        <v>-30</v>
      </c>
      <c r="C44" s="121">
        <v>60.907334699550482</v>
      </c>
      <c r="D44" s="121">
        <v>57.823612037698481</v>
      </c>
      <c r="E44" s="121">
        <v>54.43073281903964</v>
      </c>
      <c r="F44" s="121">
        <v>50.711812562956887</v>
      </c>
      <c r="G44" s="122">
        <v>46.649983083744353</v>
      </c>
      <c r="H44" s="119" t="s">
        <v>6</v>
      </c>
      <c r="I44" s="123">
        <v>-30</v>
      </c>
      <c r="J44" s="124">
        <v>26.234831157929154</v>
      </c>
      <c r="K44" s="125">
        <v>27.721258788547569</v>
      </c>
      <c r="L44" s="125">
        <v>29.207686419166006</v>
      </c>
      <c r="M44" s="125">
        <v>30.694114049784421</v>
      </c>
      <c r="N44" s="125">
        <v>32.18054168040284</v>
      </c>
      <c r="O44" s="116" t="s">
        <v>6</v>
      </c>
      <c r="P44" s="126">
        <v>-30</v>
      </c>
      <c r="Q44" s="127">
        <f t="shared" ref="Q44:Q50" si="12">C44/J44/0.86</f>
        <v>2.6995592913268824</v>
      </c>
      <c r="R44" s="127">
        <f t="shared" si="8"/>
        <v>2.4254583349276952</v>
      </c>
      <c r="S44" s="127">
        <f t="shared" si="9"/>
        <v>2.16694841492304</v>
      </c>
      <c r="T44" s="127">
        <f t="shared" si="10"/>
        <v>1.9211248063642721</v>
      </c>
      <c r="U44" s="127">
        <f t="shared" si="11"/>
        <v>1.6856200531105507</v>
      </c>
    </row>
    <row r="45" spans="1:21">
      <c r="A45" s="119" t="s">
        <v>7</v>
      </c>
      <c r="B45" s="120">
        <v>-28</v>
      </c>
      <c r="C45" s="121">
        <v>66.273404542033433</v>
      </c>
      <c r="D45" s="121">
        <v>62.807779049942084</v>
      </c>
      <c r="E45" s="121">
        <v>58.99470958775219</v>
      </c>
      <c r="F45" s="121">
        <v>54.815220620740234</v>
      </c>
      <c r="G45" s="122">
        <v>50.250354927133145</v>
      </c>
      <c r="H45" s="119" t="s">
        <v>7</v>
      </c>
      <c r="I45" s="123">
        <v>-28</v>
      </c>
      <c r="J45" s="124">
        <v>27.452971786627632</v>
      </c>
      <c r="K45" s="125">
        <v>29.113707617792816</v>
      </c>
      <c r="L45" s="125">
        <v>30.774443448958007</v>
      </c>
      <c r="M45" s="125">
        <v>32.435179280123194</v>
      </c>
      <c r="N45" s="125">
        <v>34.095915111288377</v>
      </c>
      <c r="O45" s="116" t="s">
        <v>7</v>
      </c>
      <c r="P45" s="126">
        <v>-28</v>
      </c>
      <c r="Q45" s="127">
        <f t="shared" si="12"/>
        <v>2.8070585182412588</v>
      </c>
      <c r="R45" s="127">
        <f t="shared" si="8"/>
        <v>2.5085194293917161</v>
      </c>
      <c r="S45" s="127">
        <f t="shared" si="9"/>
        <v>2.2290736024005908</v>
      </c>
      <c r="T45" s="127">
        <f t="shared" si="10"/>
        <v>1.9651079489431955</v>
      </c>
      <c r="U45" s="127">
        <f t="shared" si="11"/>
        <v>1.7137139470635079</v>
      </c>
    </row>
    <row r="46" spans="1:21">
      <c r="A46" s="119" t="s">
        <v>8</v>
      </c>
      <c r="B46" s="120">
        <v>-26</v>
      </c>
      <c r="C46" s="121">
        <v>72.050119622569113</v>
      </c>
      <c r="D46" s="121">
        <v>68.173372521005163</v>
      </c>
      <c r="E46" s="121">
        <v>63.907964726844938</v>
      </c>
      <c r="F46" s="121">
        <v>59.232669668028727</v>
      </c>
      <c r="G46" s="122">
        <v>54.126281257883214</v>
      </c>
      <c r="H46" s="119" t="s">
        <v>8</v>
      </c>
      <c r="I46" s="123">
        <v>-26</v>
      </c>
      <c r="J46" s="124">
        <v>28.650235871885918</v>
      </c>
      <c r="K46" s="125">
        <v>30.485279903597863</v>
      </c>
      <c r="L46" s="125">
        <v>32.320323935309823</v>
      </c>
      <c r="M46" s="125">
        <v>34.155367967021775</v>
      </c>
      <c r="N46" s="125">
        <v>35.990411998733727</v>
      </c>
      <c r="O46" s="116" t="s">
        <v>8</v>
      </c>
      <c r="P46" s="126">
        <v>-26</v>
      </c>
      <c r="Q46" s="127">
        <f t="shared" si="12"/>
        <v>2.9242066012330405</v>
      </c>
      <c r="R46" s="127">
        <f t="shared" si="8"/>
        <v>2.6003160754040526</v>
      </c>
      <c r="S46" s="127">
        <f t="shared" si="9"/>
        <v>2.2992215994003407</v>
      </c>
      <c r="T46" s="127">
        <f t="shared" si="10"/>
        <v>2.0165262852652317</v>
      </c>
      <c r="U46" s="127">
        <f t="shared" si="11"/>
        <v>1.7487306438334245</v>
      </c>
    </row>
    <row r="47" spans="1:21">
      <c r="A47" s="119" t="s">
        <v>5</v>
      </c>
      <c r="B47" s="120">
        <v>-24</v>
      </c>
      <c r="C47" s="121">
        <v>78.259850759264097</v>
      </c>
      <c r="D47" s="121">
        <v>73.941172714758238</v>
      </c>
      <c r="E47" s="121">
        <v>69.189528485999404</v>
      </c>
      <c r="F47" s="121">
        <v>63.981271771510336</v>
      </c>
      <c r="G47" s="122">
        <v>58.292779090438081</v>
      </c>
      <c r="H47" s="119" t="s">
        <v>5</v>
      </c>
      <c r="I47" s="123">
        <v>-24</v>
      </c>
      <c r="J47" s="124">
        <v>29.826623413704009</v>
      </c>
      <c r="K47" s="125">
        <v>31.835975645962723</v>
      </c>
      <c r="L47" s="125">
        <v>33.845327878221454</v>
      </c>
      <c r="M47" s="125">
        <v>35.854680110480167</v>
      </c>
      <c r="N47" s="125">
        <v>37.864032342738881</v>
      </c>
      <c r="O47" s="116" t="s">
        <v>5</v>
      </c>
      <c r="P47" s="126">
        <v>-24</v>
      </c>
      <c r="Q47" s="127">
        <f t="shared" si="12"/>
        <v>3.0509597148180774</v>
      </c>
      <c r="R47" s="127">
        <f t="shared" si="8"/>
        <v>2.7006588007225631</v>
      </c>
      <c r="S47" s="127">
        <f t="shared" si="9"/>
        <v>2.3770766939967682</v>
      </c>
      <c r="T47" s="127">
        <f t="shared" si="10"/>
        <v>2.0749544386409187</v>
      </c>
      <c r="U47" s="127">
        <f t="shared" si="11"/>
        <v>1.790150099556149</v>
      </c>
    </row>
    <row r="48" spans="1:21">
      <c r="A48" s="128"/>
      <c r="B48" s="120">
        <v>-22</v>
      </c>
      <c r="C48" s="121">
        <v>84.925685102948478</v>
      </c>
      <c r="D48" s="121">
        <v>80.132625481676058</v>
      </c>
      <c r="E48" s="121">
        <v>74.859040867863513</v>
      </c>
      <c r="F48" s="121">
        <v>69.078687551830512</v>
      </c>
      <c r="G48" s="122">
        <v>62.765347151233286</v>
      </c>
      <c r="H48" s="128"/>
      <c r="I48" s="123">
        <v>-22</v>
      </c>
      <c r="J48" s="124">
        <v>30.982134412081916</v>
      </c>
      <c r="K48" s="125">
        <v>33.165794844887394</v>
      </c>
      <c r="L48" s="125">
        <v>35.349455277692883</v>
      </c>
      <c r="M48" s="125">
        <v>37.533115710498365</v>
      </c>
      <c r="N48" s="125">
        <v>39.716776143303846</v>
      </c>
      <c r="O48" s="129"/>
      <c r="P48" s="126">
        <v>-22</v>
      </c>
      <c r="Q48" s="127">
        <f t="shared" si="12"/>
        <v>3.1873464661242381</v>
      </c>
      <c r="R48" s="127">
        <f t="shared" si="8"/>
        <v>2.8094448490108954</v>
      </c>
      <c r="S48" s="127">
        <f t="shared" si="9"/>
        <v>2.4624253945126684</v>
      </c>
      <c r="T48" s="127">
        <f t="shared" si="10"/>
        <v>2.1400849295961537</v>
      </c>
      <c r="U48" s="127">
        <f t="shared" si="11"/>
        <v>1.8375852445935341</v>
      </c>
    </row>
    <row r="49" spans="1:21">
      <c r="A49" s="128"/>
      <c r="B49" s="120">
        <v>-20</v>
      </c>
      <c r="C49" s="121">
        <v>92.071444772402614</v>
      </c>
      <c r="D49" s="121">
        <v>86.769859593977515</v>
      </c>
      <c r="E49" s="121">
        <v>80.936767532765572</v>
      </c>
      <c r="F49" s="121">
        <v>74.543140520421929</v>
      </c>
      <c r="G49" s="122">
        <v>67.559978503072912</v>
      </c>
      <c r="H49" s="128"/>
      <c r="I49" s="123">
        <v>-20</v>
      </c>
      <c r="J49" s="124">
        <v>32.116768867019623</v>
      </c>
      <c r="K49" s="125">
        <v>34.47473750037188</v>
      </c>
      <c r="L49" s="125">
        <v>36.832706133724137</v>
      </c>
      <c r="M49" s="125">
        <v>39.190674767076381</v>
      </c>
      <c r="N49" s="125">
        <v>41.548643400428631</v>
      </c>
      <c r="O49" s="116" t="s">
        <v>9</v>
      </c>
      <c r="P49" s="126">
        <v>-20</v>
      </c>
      <c r="Q49" s="127">
        <f t="shared" si="12"/>
        <v>3.3334554900612172</v>
      </c>
      <c r="R49" s="127">
        <f t="shared" si="8"/>
        <v>2.9266411549414726</v>
      </c>
      <c r="S49" s="127">
        <f t="shared" si="9"/>
        <v>2.5551345601719717</v>
      </c>
      <c r="T49" s="127">
        <f t="shared" si="10"/>
        <v>2.211701403146058</v>
      </c>
      <c r="U49" s="127">
        <f t="shared" si="11"/>
        <v>1.8907504098592649</v>
      </c>
    </row>
    <row r="50" spans="1:21">
      <c r="A50" s="102"/>
      <c r="B50" s="130">
        <v>-18</v>
      </c>
      <c r="C50" s="131">
        <v>99.721709573343887</v>
      </c>
      <c r="D50" s="131">
        <v>93.875707876149491</v>
      </c>
      <c r="E50" s="131">
        <v>87.44361918152515</v>
      </c>
      <c r="F50" s="131">
        <v>80.393434546654802</v>
      </c>
      <c r="G50" s="132">
        <v>72.693175919982508</v>
      </c>
      <c r="H50" s="102"/>
      <c r="I50" s="133">
        <v>-18</v>
      </c>
      <c r="J50" s="134">
        <v>33.230526778517145</v>
      </c>
      <c r="K50" s="135">
        <v>35.762803612416157</v>
      </c>
      <c r="L50" s="135">
        <v>38.29508044631519</v>
      </c>
      <c r="M50" s="135">
        <v>40.827357280214201</v>
      </c>
      <c r="N50" s="135">
        <v>43.35963411411322</v>
      </c>
      <c r="O50" s="136"/>
      <c r="P50" s="137">
        <v>-18</v>
      </c>
      <c r="Q50" s="138">
        <f t="shared" si="12"/>
        <v>3.4894263645268824</v>
      </c>
      <c r="R50" s="138">
        <f t="shared" si="8"/>
        <v>3.0522718811142169</v>
      </c>
      <c r="S50" s="138">
        <f t="shared" si="9"/>
        <v>2.6551354839899672</v>
      </c>
      <c r="T50" s="138">
        <f t="shared" si="10"/>
        <v>2.2896592890730694</v>
      </c>
      <c r="U50" s="138">
        <f t="shared" si="11"/>
        <v>1.9494386996372937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200" t="s">
        <v>25</v>
      </c>
      <c r="D57" s="200"/>
      <c r="E57" s="200"/>
      <c r="F57" s="200"/>
      <c r="G57" s="201"/>
      <c r="H57" s="97"/>
      <c r="I57" s="98"/>
      <c r="J57" s="200" t="s">
        <v>15</v>
      </c>
      <c r="K57" s="200"/>
      <c r="L57" s="200"/>
      <c r="M57" s="200"/>
      <c r="N57" s="201"/>
      <c r="O57" s="97"/>
      <c r="P57" s="98"/>
      <c r="Q57" s="200" t="s">
        <v>23</v>
      </c>
      <c r="R57" s="200"/>
      <c r="S57" s="200"/>
      <c r="T57" s="200"/>
      <c r="U57" s="201"/>
    </row>
    <row r="58" spans="1:21">
      <c r="A58" s="100"/>
      <c r="B58" s="101"/>
      <c r="C58" s="203" t="s">
        <v>10</v>
      </c>
      <c r="D58" s="203"/>
      <c r="E58" s="203"/>
      <c r="F58" s="203"/>
      <c r="G58" s="203"/>
      <c r="H58" s="100"/>
      <c r="I58" s="101"/>
      <c r="J58" s="202" t="s">
        <v>10</v>
      </c>
      <c r="K58" s="203"/>
      <c r="L58" s="203"/>
      <c r="M58" s="203"/>
      <c r="N58" s="204"/>
      <c r="O58" s="100"/>
      <c r="P58" s="101"/>
      <c r="Q58" s="202" t="s">
        <v>10</v>
      </c>
      <c r="R58" s="203"/>
      <c r="S58" s="203"/>
      <c r="T58" s="203"/>
      <c r="U58" s="204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41.995155655818735</v>
      </c>
      <c r="D60" s="144">
        <v>37.949971773502341</v>
      </c>
      <c r="E60" s="144">
        <v>33.894238106497198</v>
      </c>
      <c r="F60" s="144">
        <v>29.853904562034423</v>
      </c>
      <c r="G60" s="145">
        <v>25.858669842247359</v>
      </c>
      <c r="H60" s="109"/>
      <c r="I60" s="113">
        <v>-32</v>
      </c>
      <c r="J60" s="146">
        <f>J43</f>
        <v>24.995813985790491</v>
      </c>
      <c r="K60" s="146">
        <f>K43</f>
        <v>26.307933415862141</v>
      </c>
      <c r="L60" s="146">
        <f>L43</f>
        <v>27.620052845933802</v>
      </c>
      <c r="M60" s="146">
        <f>M43</f>
        <v>28.932172276005453</v>
      </c>
      <c r="N60" s="146">
        <f>N43</f>
        <v>30.244291706077099</v>
      </c>
      <c r="O60" s="101"/>
      <c r="P60" s="117">
        <v>-32</v>
      </c>
      <c r="Q60" s="118">
        <f>C60/J60/0.86</f>
        <v>1.9535901640064546</v>
      </c>
      <c r="R60" s="118">
        <f t="shared" ref="R60:U67" si="13">D60/K60/0.86</f>
        <v>1.6773599604987885</v>
      </c>
      <c r="S60" s="118">
        <f t="shared" si="13"/>
        <v>1.4269308243122687</v>
      </c>
      <c r="T60" s="118">
        <f t="shared" si="13"/>
        <v>1.1998353315068231</v>
      </c>
      <c r="U60" s="118">
        <f t="shared" si="13"/>
        <v>0.99417837385682717</v>
      </c>
    </row>
    <row r="61" spans="1:21">
      <c r="A61" s="119" t="s">
        <v>6</v>
      </c>
      <c r="B61" s="120">
        <v>-30</v>
      </c>
      <c r="C61" s="147">
        <v>46.229556982505635</v>
      </c>
      <c r="D61" s="147">
        <v>41.718858845983803</v>
      </c>
      <c r="E61" s="147">
        <v>37.195195388826313</v>
      </c>
      <c r="F61" s="147">
        <v>32.687827246452009</v>
      </c>
      <c r="G61" s="148">
        <v>28.230252326074528</v>
      </c>
      <c r="H61" s="119" t="s">
        <v>6</v>
      </c>
      <c r="I61" s="123">
        <v>-30</v>
      </c>
      <c r="J61" s="149">
        <f t="shared" ref="J61:N67" si="14">J44</f>
        <v>26.234831157929154</v>
      </c>
      <c r="K61" s="149">
        <f t="shared" si="14"/>
        <v>27.721258788547569</v>
      </c>
      <c r="L61" s="149">
        <f t="shared" si="14"/>
        <v>29.207686419166006</v>
      </c>
      <c r="M61" s="149">
        <f t="shared" si="14"/>
        <v>30.694114049784421</v>
      </c>
      <c r="N61" s="149">
        <f t="shared" si="14"/>
        <v>32.18054168040284</v>
      </c>
      <c r="O61" s="101" t="s">
        <v>6</v>
      </c>
      <c r="P61" s="126">
        <v>-30</v>
      </c>
      <c r="Q61" s="127">
        <f t="shared" ref="Q61:Q67" si="15">C61/J61/0.86</f>
        <v>2.0490049466401898</v>
      </c>
      <c r="R61" s="127">
        <f t="shared" si="13"/>
        <v>1.7499313921394892</v>
      </c>
      <c r="S61" s="127">
        <f t="shared" si="13"/>
        <v>1.4807823726814933</v>
      </c>
      <c r="T61" s="127">
        <f t="shared" si="13"/>
        <v>1.2383188968319403</v>
      </c>
      <c r="U61" s="127">
        <f t="shared" si="13"/>
        <v>1.0200535194145359</v>
      </c>
    </row>
    <row r="62" spans="1:21">
      <c r="A62" s="119" t="s">
        <v>7</v>
      </c>
      <c r="B62" s="120">
        <v>-28</v>
      </c>
      <c r="C62" s="147">
        <v>50.847503874198772</v>
      </c>
      <c r="D62" s="147">
        <v>45.830274856994748</v>
      </c>
      <c r="E62" s="147">
        <v>40.797054001297383</v>
      </c>
      <c r="F62" s="147">
        <v>35.780651644383489</v>
      </c>
      <c r="G62" s="148">
        <v>30.818642536849328</v>
      </c>
      <c r="H62" s="119" t="s">
        <v>7</v>
      </c>
      <c r="I62" s="123">
        <v>-28</v>
      </c>
      <c r="J62" s="149">
        <f t="shared" si="14"/>
        <v>27.452971786627632</v>
      </c>
      <c r="K62" s="149">
        <f t="shared" si="14"/>
        <v>29.113707617792816</v>
      </c>
      <c r="L62" s="149">
        <f t="shared" si="14"/>
        <v>30.774443448958007</v>
      </c>
      <c r="M62" s="149">
        <f t="shared" si="14"/>
        <v>32.435179280123194</v>
      </c>
      <c r="N62" s="149">
        <f t="shared" si="14"/>
        <v>34.095915111288377</v>
      </c>
      <c r="O62" s="101" t="s">
        <v>7</v>
      </c>
      <c r="P62" s="126">
        <v>-28</v>
      </c>
      <c r="Q62" s="127">
        <f t="shared" si="15"/>
        <v>2.1536832137671209</v>
      </c>
      <c r="R62" s="127">
        <f t="shared" si="13"/>
        <v>1.8304442008961626</v>
      </c>
      <c r="S62" s="127">
        <f t="shared" si="13"/>
        <v>1.5414879870666105</v>
      </c>
      <c r="T62" s="127">
        <f t="shared" si="13"/>
        <v>1.2827248010407786</v>
      </c>
      <c r="U62" s="127">
        <f t="shared" si="13"/>
        <v>1.051024169312798</v>
      </c>
    </row>
    <row r="63" spans="1:21">
      <c r="A63" s="119" t="s">
        <v>8</v>
      </c>
      <c r="B63" s="120">
        <v>-26</v>
      </c>
      <c r="C63" s="147">
        <v>55.876398756587569</v>
      </c>
      <c r="D63" s="147">
        <v>50.30887518523312</v>
      </c>
      <c r="E63" s="147">
        <v>44.721649588123633</v>
      </c>
      <c r="F63" s="147">
        <v>39.151332773764288</v>
      </c>
      <c r="G63" s="148">
        <v>33.639868010332009</v>
      </c>
      <c r="H63" s="119" t="s">
        <v>8</v>
      </c>
      <c r="I63" s="123">
        <v>-26</v>
      </c>
      <c r="J63" s="149">
        <f t="shared" si="14"/>
        <v>28.650235871885918</v>
      </c>
      <c r="K63" s="149">
        <f t="shared" si="14"/>
        <v>30.485279903597863</v>
      </c>
      <c r="L63" s="149">
        <f t="shared" si="14"/>
        <v>32.320323935309823</v>
      </c>
      <c r="M63" s="149">
        <f t="shared" si="14"/>
        <v>34.155367967021775</v>
      </c>
      <c r="N63" s="149">
        <f t="shared" si="14"/>
        <v>35.990411998733727</v>
      </c>
      <c r="O63" s="101" t="s">
        <v>8</v>
      </c>
      <c r="P63" s="126">
        <v>-26</v>
      </c>
      <c r="Q63" s="127">
        <f t="shared" si="15"/>
        <v>2.2677843555718558</v>
      </c>
      <c r="R63" s="127">
        <f t="shared" si="13"/>
        <v>1.9189160231049236</v>
      </c>
      <c r="S63" s="127">
        <f t="shared" si="13"/>
        <v>1.608954112892206</v>
      </c>
      <c r="T63" s="127">
        <f t="shared" si="13"/>
        <v>1.3328741061974365</v>
      </c>
      <c r="U63" s="127">
        <f t="shared" si="13"/>
        <v>1.0868485082856389</v>
      </c>
    </row>
    <row r="64" spans="1:21">
      <c r="A64" s="119" t="s">
        <v>5</v>
      </c>
      <c r="B64" s="120">
        <v>-24</v>
      </c>
      <c r="C64" s="147">
        <v>61.34508258229333</v>
      </c>
      <c r="D64" s="147">
        <v>55.180621022479947</v>
      </c>
      <c r="E64" s="147">
        <v>48.991985354788753</v>
      </c>
      <c r="F64" s="147">
        <v>42.819849725144742</v>
      </c>
      <c r="G64" s="148">
        <v>36.710832016429421</v>
      </c>
      <c r="H64" s="119" t="s">
        <v>5</v>
      </c>
      <c r="I64" s="123">
        <v>-24</v>
      </c>
      <c r="J64" s="149">
        <f t="shared" si="14"/>
        <v>29.826623413704009</v>
      </c>
      <c r="K64" s="149">
        <f t="shared" si="14"/>
        <v>31.835975645962723</v>
      </c>
      <c r="L64" s="149">
        <f t="shared" si="14"/>
        <v>33.845327878221454</v>
      </c>
      <c r="M64" s="149">
        <f t="shared" si="14"/>
        <v>35.854680110480167</v>
      </c>
      <c r="N64" s="149">
        <f t="shared" si="14"/>
        <v>37.864032342738881</v>
      </c>
      <c r="O64" s="101" t="s">
        <v>5</v>
      </c>
      <c r="P64" s="126">
        <v>-24</v>
      </c>
      <c r="Q64" s="127">
        <f t="shared" si="15"/>
        <v>2.3915375999948436</v>
      </c>
      <c r="R64" s="127">
        <f t="shared" si="13"/>
        <v>2.0154404416681992</v>
      </c>
      <c r="S64" s="127">
        <f t="shared" si="13"/>
        <v>1.6831695363130668</v>
      </c>
      <c r="T64" s="127">
        <f t="shared" si="13"/>
        <v>1.3886756982015653</v>
      </c>
      <c r="U64" s="127">
        <f t="shared" si="13"/>
        <v>1.1273763339888538</v>
      </c>
    </row>
    <row r="65" spans="1:21">
      <c r="A65" s="128"/>
      <c r="B65" s="120">
        <v>-22</v>
      </c>
      <c r="C65" s="147">
        <v>67.283896729222491</v>
      </c>
      <c r="D65" s="147">
        <v>60.472835675270083</v>
      </c>
      <c r="E65" s="147">
        <v>53.632282521057107</v>
      </c>
      <c r="F65" s="147">
        <v>46.8072500242736</v>
      </c>
      <c r="G65" s="148">
        <v>40.049351603209587</v>
      </c>
      <c r="H65" s="128"/>
      <c r="I65" s="123">
        <v>-22</v>
      </c>
      <c r="J65" s="149">
        <f t="shared" si="14"/>
        <v>30.982134412081916</v>
      </c>
      <c r="K65" s="149">
        <f t="shared" si="14"/>
        <v>33.165794844887394</v>
      </c>
      <c r="L65" s="149">
        <f t="shared" si="14"/>
        <v>35.349455277692883</v>
      </c>
      <c r="M65" s="149">
        <f t="shared" si="14"/>
        <v>37.533115710498365</v>
      </c>
      <c r="N65" s="149">
        <f t="shared" si="14"/>
        <v>39.716776143303846</v>
      </c>
      <c r="O65" s="150"/>
      <c r="P65" s="126">
        <v>-22</v>
      </c>
      <c r="Q65" s="127">
        <f t="shared" si="15"/>
        <v>2.5252323864916328</v>
      </c>
      <c r="R65" s="127">
        <f t="shared" si="13"/>
        <v>2.1201738451939254</v>
      </c>
      <c r="S65" s="127">
        <f t="shared" si="13"/>
        <v>1.7641889732282661</v>
      </c>
      <c r="T65" s="127">
        <f t="shared" si="13"/>
        <v>1.4501070289968572</v>
      </c>
      <c r="U65" s="127">
        <f t="shared" si="13"/>
        <v>1.1725275315417463</v>
      </c>
    </row>
    <row r="66" spans="1:21">
      <c r="A66" s="128"/>
      <c r="B66" s="120">
        <v>-20</v>
      </c>
      <c r="C66" s="147">
        <v>73.724750395689412</v>
      </c>
      <c r="D66" s="147">
        <v>66.214265793053457</v>
      </c>
      <c r="E66" s="147">
        <v>58.668035119103024</v>
      </c>
      <c r="F66" s="147">
        <v>51.135697750307656</v>
      </c>
      <c r="G66" s="148">
        <v>43.674198802409414</v>
      </c>
      <c r="H66" s="128"/>
      <c r="I66" s="123">
        <v>-20</v>
      </c>
      <c r="J66" s="149">
        <f t="shared" si="14"/>
        <v>32.116768867019623</v>
      </c>
      <c r="K66" s="149">
        <f t="shared" si="14"/>
        <v>34.47473750037188</v>
      </c>
      <c r="L66" s="149">
        <f t="shared" si="14"/>
        <v>36.832706133724137</v>
      </c>
      <c r="M66" s="149">
        <f t="shared" si="14"/>
        <v>39.190674767076381</v>
      </c>
      <c r="N66" s="149">
        <f t="shared" si="14"/>
        <v>41.548643400428631</v>
      </c>
      <c r="O66" s="101" t="s">
        <v>9</v>
      </c>
      <c r="P66" s="126">
        <v>-20</v>
      </c>
      <c r="Q66" s="127">
        <f t="shared" si="15"/>
        <v>2.6692116602211398</v>
      </c>
      <c r="R66" s="127">
        <f t="shared" si="13"/>
        <v>2.2333261367595183</v>
      </c>
      <c r="S66" s="127">
        <f t="shared" si="13"/>
        <v>1.8521214607380667</v>
      </c>
      <c r="T66" s="127">
        <f t="shared" si="13"/>
        <v>1.5172005589732833</v>
      </c>
      <c r="U66" s="127">
        <f t="shared" si="13"/>
        <v>1.2222770213311225</v>
      </c>
    </row>
    <row r="67" spans="1:21">
      <c r="A67" s="102"/>
      <c r="B67" s="130">
        <v>-18</v>
      </c>
      <c r="C67" s="151">
        <v>80.701194373025942</v>
      </c>
      <c r="D67" s="151">
        <v>72.43514831496168</v>
      </c>
      <c r="E67" s="151">
        <v>64.126069838032961</v>
      </c>
      <c r="F67" s="151">
        <v>55.828526018237682</v>
      </c>
      <c r="G67" s="152">
        <v>47.605145510965528</v>
      </c>
      <c r="H67" s="102"/>
      <c r="I67" s="133">
        <v>-18</v>
      </c>
      <c r="J67" s="153">
        <f t="shared" si="14"/>
        <v>33.230526778517145</v>
      </c>
      <c r="K67" s="153">
        <f t="shared" si="14"/>
        <v>35.762803612416157</v>
      </c>
      <c r="L67" s="153">
        <f t="shared" si="14"/>
        <v>38.29508044631519</v>
      </c>
      <c r="M67" s="153">
        <f t="shared" si="14"/>
        <v>40.827357280214201</v>
      </c>
      <c r="N67" s="153">
        <f t="shared" si="14"/>
        <v>43.35963411411322</v>
      </c>
      <c r="O67" s="47"/>
      <c r="P67" s="137">
        <v>-18</v>
      </c>
      <c r="Q67" s="138">
        <f t="shared" si="15"/>
        <v>2.8238673053126093</v>
      </c>
      <c r="R67" s="138">
        <f t="shared" si="13"/>
        <v>2.3551541864033925</v>
      </c>
      <c r="S67" s="138">
        <f t="shared" si="13"/>
        <v>1.9471221007255937</v>
      </c>
      <c r="T67" s="138">
        <f t="shared" si="13"/>
        <v>1.590034110543352</v>
      </c>
      <c r="U67" s="138">
        <f t="shared" si="13"/>
        <v>1.2766440836632951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97"/>
      <c r="P70" s="98"/>
      <c r="Q70" s="200" t="s">
        <v>24</v>
      </c>
      <c r="R70" s="200"/>
      <c r="S70" s="200"/>
      <c r="T70" s="200"/>
      <c r="U70" s="201"/>
    </row>
    <row r="71" spans="1:21">
      <c r="A71" s="109"/>
      <c r="B71" s="109"/>
      <c r="C71" s="109"/>
      <c r="D71" s="200" t="s">
        <v>14</v>
      </c>
      <c r="E71" s="200"/>
      <c r="F71" s="201"/>
      <c r="G71" s="205" t="s">
        <v>13</v>
      </c>
      <c r="H71" s="200"/>
      <c r="I71" s="201"/>
      <c r="J71" s="212"/>
      <c r="K71" s="212"/>
      <c r="L71" s="212"/>
      <c r="M71" s="212"/>
      <c r="N71" s="212"/>
      <c r="O71" s="100"/>
      <c r="P71" s="101"/>
      <c r="Q71" s="202" t="s">
        <v>10</v>
      </c>
      <c r="R71" s="203"/>
      <c r="S71" s="203"/>
      <c r="T71" s="203"/>
      <c r="U71" s="204"/>
    </row>
    <row r="72" spans="1:21">
      <c r="A72" s="157" t="s">
        <v>16</v>
      </c>
      <c r="B72" s="157" t="s">
        <v>17</v>
      </c>
      <c r="C72" s="157"/>
      <c r="D72" s="106">
        <f>M26</f>
        <v>35</v>
      </c>
      <c r="E72" s="106">
        <f>N26</f>
        <v>45</v>
      </c>
      <c r="F72" s="106">
        <f>D72</f>
        <v>35</v>
      </c>
      <c r="G72" s="106">
        <f>E72</f>
        <v>45</v>
      </c>
      <c r="H72" s="106">
        <f>N26</f>
        <v>45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4.7878318380820248</v>
      </c>
      <c r="B73" s="14">
        <v>0.3719233795238876</v>
      </c>
      <c r="C73" s="14">
        <v>12.873167167417922</v>
      </c>
      <c r="D73" s="14">
        <v>1.0956245219078622</v>
      </c>
      <c r="E73" s="14"/>
      <c r="F73" s="14"/>
      <c r="G73" s="14">
        <v>1.0097341701536786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T80" si="16">Q60/$U$60</f>
        <v>1.9650298330546803</v>
      </c>
      <c r="R73" s="160">
        <f t="shared" si="16"/>
        <v>1.6871821039433987</v>
      </c>
      <c r="S73" s="160">
        <f t="shared" si="16"/>
        <v>1.435286525874242</v>
      </c>
      <c r="T73" s="160">
        <f t="shared" si="16"/>
        <v>1.2068612263734604</v>
      </c>
      <c r="U73" s="160">
        <f>U60/$U$60</f>
        <v>1</v>
      </c>
    </row>
    <row r="74" spans="1:21">
      <c r="A74" s="14">
        <v>6.2233594418684053</v>
      </c>
      <c r="B74" s="14">
        <v>0.3719233795238876</v>
      </c>
      <c r="C74" s="14">
        <v>16.732907325791537</v>
      </c>
      <c r="D74" s="14"/>
      <c r="E74" s="14">
        <v>0.91886269724632264</v>
      </c>
      <c r="F74" s="14"/>
      <c r="G74" s="14"/>
      <c r="H74" s="14">
        <v>0.9127866497171222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6"/>
        <v>2.0610033375512447</v>
      </c>
      <c r="R74" s="161">
        <f t="shared" si="16"/>
        <v>1.7601784932725755</v>
      </c>
      <c r="S74" s="161">
        <f t="shared" si="16"/>
        <v>1.489453413613222</v>
      </c>
      <c r="T74" s="161">
        <f t="shared" si="16"/>
        <v>1.2455701405251771</v>
      </c>
      <c r="U74" s="161">
        <f t="shared" ref="U74:U80" si="17">U61/$U$60</f>
        <v>1.0260266630597972</v>
      </c>
    </row>
    <row r="75" spans="1:21">
      <c r="A75" s="14">
        <v>7.9479491617924891</v>
      </c>
      <c r="B75" s="14">
        <v>0.3719233795238876</v>
      </c>
      <c r="C75" s="14">
        <v>21.369856264392258</v>
      </c>
      <c r="D75" s="14"/>
      <c r="E75" s="14"/>
      <c r="F75" s="14">
        <v>0.74203898626997011</v>
      </c>
      <c r="G75" s="14"/>
      <c r="H75" s="14"/>
      <c r="I75" s="14">
        <v>0.79631748766407751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6"/>
        <v>2.1662945708747388</v>
      </c>
      <c r="R75" s="161">
        <f t="shared" si="16"/>
        <v>1.8411627621662257</v>
      </c>
      <c r="S75" s="161">
        <f t="shared" si="16"/>
        <v>1.550514502831664</v>
      </c>
      <c r="T75" s="161">
        <f t="shared" si="16"/>
        <v>1.2902360730947717</v>
      </c>
      <c r="U75" s="161">
        <f t="shared" si="17"/>
        <v>1.0571786682860969</v>
      </c>
    </row>
    <row r="76" spans="1:21">
      <c r="A76" s="14">
        <v>4.7878318380820248</v>
      </c>
      <c r="B76" s="14">
        <v>0.59357850212742569</v>
      </c>
      <c r="C76" s="14">
        <v>8.0660465648976682</v>
      </c>
      <c r="D76" s="14">
        <v>0.95303014229325811</v>
      </c>
      <c r="E76" s="14"/>
      <c r="F76" s="14"/>
      <c r="G76" s="14">
        <v>0.96470981083277008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6"/>
        <v>2.2810638565534136</v>
      </c>
      <c r="R76" s="161">
        <f t="shared" si="16"/>
        <v>1.9301526502338393</v>
      </c>
      <c r="S76" s="161">
        <f t="shared" si="16"/>
        <v>1.6183756911251355</v>
      </c>
      <c r="T76" s="161">
        <f t="shared" si="16"/>
        <v>1.3406790383366207</v>
      </c>
      <c r="U76" s="161">
        <f t="shared" si="17"/>
        <v>1.0932127844114192</v>
      </c>
    </row>
    <row r="77" spans="1:21">
      <c r="A77" s="14">
        <v>6.2233594418684053</v>
      </c>
      <c r="B77" s="14">
        <v>0.59357850212742569</v>
      </c>
      <c r="C77" s="14">
        <v>10.484475801538402</v>
      </c>
      <c r="D77" s="14"/>
      <c r="E77" s="14">
        <v>0.84245899355537046</v>
      </c>
      <c r="F77" s="14"/>
      <c r="G77" s="14"/>
      <c r="H77" s="14">
        <v>0.85426271212492422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6"/>
        <v>2.4055417648214221</v>
      </c>
      <c r="R77" s="161">
        <f t="shared" si="16"/>
        <v>2.0272422883727357</v>
      </c>
      <c r="S77" s="161">
        <f t="shared" si="16"/>
        <v>1.6930256989833317</v>
      </c>
      <c r="T77" s="161">
        <f t="shared" si="16"/>
        <v>1.3968073886120864</v>
      </c>
      <c r="U77" s="161">
        <f t="shared" si="17"/>
        <v>1.1339779295492991</v>
      </c>
    </row>
    <row r="78" spans="1:21">
      <c r="A78" s="14">
        <v>7.9479491617924891</v>
      </c>
      <c r="B78" s="14">
        <v>0.59357850212742569</v>
      </c>
      <c r="C78" s="14">
        <v>13.389887156132675</v>
      </c>
      <c r="D78" s="14"/>
      <c r="E78" s="14"/>
      <c r="F78" s="14">
        <v>0.73182012025267396</v>
      </c>
      <c r="G78" s="14"/>
      <c r="H78" s="14"/>
      <c r="I78" s="14">
        <v>0.72157565649144995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6"/>
        <v>2.5400194300095436</v>
      </c>
      <c r="R78" s="161">
        <f t="shared" si="16"/>
        <v>2.1325889809581136</v>
      </c>
      <c r="S78" s="161">
        <f t="shared" si="16"/>
        <v>1.7745195627060875</v>
      </c>
      <c r="T78" s="161">
        <f t="shared" si="16"/>
        <v>1.4585984438298483</v>
      </c>
      <c r="U78" s="161">
        <f t="shared" si="17"/>
        <v>1.1793935196890568</v>
      </c>
    </row>
    <row r="79" spans="1:21">
      <c r="A79" s="14">
        <v>4.7878318380820248</v>
      </c>
      <c r="B79" s="14">
        <v>0.90864948863276984</v>
      </c>
      <c r="C79" s="14">
        <v>5.2691735349856383</v>
      </c>
      <c r="D79" s="14">
        <v>0.87619842763603994</v>
      </c>
      <c r="E79" s="14"/>
      <c r="F79" s="14"/>
      <c r="G79" s="14">
        <v>0.93851379315688788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6"/>
        <v>2.6848418054661245</v>
      </c>
      <c r="R79" s="161">
        <f t="shared" si="16"/>
        <v>2.2464038602001839</v>
      </c>
      <c r="S79" s="161">
        <f t="shared" si="16"/>
        <v>1.8629669578839512</v>
      </c>
      <c r="T79" s="161">
        <f t="shared" si="16"/>
        <v>1.5260848544587002</v>
      </c>
      <c r="U79" s="161">
        <f t="shared" si="17"/>
        <v>1.2294343283584079</v>
      </c>
    </row>
    <row r="80" spans="1:21">
      <c r="A80" s="14">
        <v>6.2233594418684053</v>
      </c>
      <c r="B80" s="14">
        <v>0.90864948863276984</v>
      </c>
      <c r="C80" s="14">
        <v>6.8490210138483576</v>
      </c>
      <c r="D80" s="14"/>
      <c r="E80" s="14">
        <v>0.80414322124020599</v>
      </c>
      <c r="F80" s="14"/>
      <c r="G80" s="14"/>
      <c r="H80" s="14">
        <v>0.8202123863290498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6"/>
        <v>2.8404030700825502</v>
      </c>
      <c r="R80" s="162">
        <f t="shared" si="16"/>
        <v>2.368945300295338</v>
      </c>
      <c r="S80" s="162">
        <f t="shared" si="16"/>
        <v>1.9585238946326156</v>
      </c>
      <c r="T80" s="162">
        <f t="shared" si="16"/>
        <v>1.5993448986170913</v>
      </c>
      <c r="U80" s="162">
        <f t="shared" si="17"/>
        <v>1.2841197487636622</v>
      </c>
    </row>
    <row r="81" spans="1:9">
      <c r="A81" s="14">
        <v>7.9479491617924891</v>
      </c>
      <c r="B81" s="14">
        <v>0.90864948863276984</v>
      </c>
      <c r="C81" s="14">
        <v>8.7469912889640646</v>
      </c>
      <c r="D81" s="14"/>
      <c r="E81" s="14"/>
      <c r="F81" s="14">
        <v>0.73202501175514101</v>
      </c>
      <c r="G81" s="14"/>
      <c r="H81" s="14"/>
      <c r="I81" s="14">
        <v>0.67808945568688417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197" t="s">
        <v>20</v>
      </c>
      <c r="D103" s="198"/>
      <c r="E103" s="199"/>
      <c r="F103" s="197" t="s">
        <v>39</v>
      </c>
      <c r="G103" s="198"/>
      <c r="H103" s="199"/>
      <c r="K103" s="163"/>
      <c r="L103" s="197" t="s">
        <v>20</v>
      </c>
      <c r="M103" s="198"/>
      <c r="N103" s="199"/>
      <c r="O103" s="197" t="s">
        <v>40</v>
      </c>
      <c r="P103" s="198"/>
      <c r="Q103" s="199"/>
    </row>
    <row r="104" spans="2:17" ht="15" thickBot="1">
      <c r="B104" s="164"/>
      <c r="C104" s="165">
        <v>35</v>
      </c>
      <c r="D104" s="166">
        <v>45</v>
      </c>
      <c r="E104" s="167">
        <v>55</v>
      </c>
      <c r="F104" s="168">
        <v>35</v>
      </c>
      <c r="G104" s="168">
        <v>45</v>
      </c>
      <c r="H104" s="169">
        <v>55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-35</v>
      </c>
      <c r="C105" s="171">
        <f t="shared" ref="C105:D105" si="18">IF(C27="","",C27)</f>
        <v>49.148218822985378</v>
      </c>
      <c r="D105" s="172">
        <f t="shared" si="18"/>
        <v>44.429355096667656</v>
      </c>
      <c r="E105" s="173">
        <f t="shared" ref="E105" si="19">IF(E27="","",E27)</f>
        <v>38.760286908313113</v>
      </c>
      <c r="F105" s="174">
        <f>IF(C14="","",C14)</f>
        <v>53.328881345434553</v>
      </c>
      <c r="G105" s="175">
        <f t="shared" ref="G105:H109" si="20">IF(D14="","",D14)</f>
        <v>44.725103148353924</v>
      </c>
      <c r="H105" s="176">
        <f t="shared" si="20"/>
        <v>36.118312671177719</v>
      </c>
      <c r="K105" s="170">
        <v>-30</v>
      </c>
      <c r="L105" s="174">
        <f t="shared" ref="L105:N109" si="21">IF(H27="","",H27)</f>
        <v>23.098144708632134</v>
      </c>
      <c r="M105" s="175">
        <f t="shared" si="21"/>
        <v>25.199458967135147</v>
      </c>
      <c r="N105" s="176">
        <f t="shared" si="21"/>
        <v>27.300773225638157</v>
      </c>
      <c r="O105" s="171">
        <f>IF(H14="","",H14)</f>
        <v>22.974852287715816</v>
      </c>
      <c r="P105" s="172">
        <f t="shared" ref="P105:Q109" si="22">IF(I14="","",I14)</f>
        <v>25.269840951940697</v>
      </c>
      <c r="Q105" s="173">
        <f t="shared" si="22"/>
        <v>27.353683661748953</v>
      </c>
    </row>
    <row r="106" spans="2:17">
      <c r="B106" s="177">
        <v>-25</v>
      </c>
      <c r="C106" s="178">
        <f t="shared" ref="C106:D106" si="23">IF(C28="","",C28)</f>
        <v>75.099432226033741</v>
      </c>
      <c r="D106" s="179">
        <f t="shared" si="23"/>
        <v>66.501494990574457</v>
      </c>
      <c r="E106" s="180">
        <f t="shared" ref="E106:E109" si="24">IF(E28="","",E28)</f>
        <v>56.172251491727714</v>
      </c>
      <c r="F106" s="181">
        <f t="shared" ref="F106:F109" si="25">IF(C15="","",C15)</f>
        <v>74.190209093796227</v>
      </c>
      <c r="G106" s="182">
        <f t="shared" si="20"/>
        <v>65.582614978393224</v>
      </c>
      <c r="H106" s="183">
        <f t="shared" si="20"/>
        <v>56.969748732129958</v>
      </c>
      <c r="K106" s="177">
        <v>-20</v>
      </c>
      <c r="L106" s="181">
        <f t="shared" si="21"/>
        <v>29.241039210724985</v>
      </c>
      <c r="M106" s="182">
        <f t="shared" si="21"/>
        <v>33.085435474695657</v>
      </c>
      <c r="N106" s="183">
        <f t="shared" si="21"/>
        <v>36.92983173866633</v>
      </c>
      <c r="O106" s="178">
        <f t="shared" ref="O106:O109" si="26">IF(H15="","",H15)</f>
        <v>29.358355457071273</v>
      </c>
      <c r="P106" s="179">
        <f t="shared" si="22"/>
        <v>33.203208696057622</v>
      </c>
      <c r="Q106" s="180">
        <f t="shared" si="22"/>
        <v>36.694742270957995</v>
      </c>
    </row>
    <row r="107" spans="2:17">
      <c r="B107" s="177">
        <v>-15</v>
      </c>
      <c r="C107" s="178">
        <f t="shared" ref="C107:D107" si="27">IF(C29="","",C29)</f>
        <v>112.198762490871</v>
      </c>
      <c r="D107" s="179">
        <f t="shared" si="27"/>
        <v>98.055900080330318</v>
      </c>
      <c r="E107" s="180">
        <f t="shared" si="24"/>
        <v>81.065188749398146</v>
      </c>
      <c r="F107" s="181">
        <f t="shared" si="25"/>
        <v>104.74899782402751</v>
      </c>
      <c r="G107" s="182">
        <f t="shared" si="20"/>
        <v>96.134841007596592</v>
      </c>
      <c r="H107" s="183">
        <f t="shared" si="20"/>
        <v>87.513152209540692</v>
      </c>
      <c r="K107" s="177">
        <v>-15</v>
      </c>
      <c r="L107" s="181">
        <f t="shared" si="21"/>
        <v>34.862020126813064</v>
      </c>
      <c r="M107" s="182">
        <f t="shared" si="21"/>
        <v>40.4494983962514</v>
      </c>
      <c r="N107" s="183">
        <f t="shared" si="21"/>
        <v>46.036976665689728</v>
      </c>
      <c r="O107" s="178">
        <f t="shared" si="26"/>
        <v>34.6913364693402</v>
      </c>
      <c r="P107" s="179">
        <f t="shared" si="22"/>
        <v>40.614662854169886</v>
      </c>
      <c r="Q107" s="180">
        <f t="shared" si="22"/>
        <v>46.042495865244213</v>
      </c>
    </row>
    <row r="108" spans="2:17">
      <c r="B108" s="177">
        <v>-20</v>
      </c>
      <c r="C108" s="178" t="str">
        <f t="shared" ref="C108:D108" si="28">IF(C30="","",C30)</f>
        <v/>
      </c>
      <c r="D108" s="179" t="str">
        <f t="shared" si="28"/>
        <v/>
      </c>
      <c r="E108" s="180" t="str">
        <f t="shared" si="24"/>
        <v/>
      </c>
      <c r="F108" s="181" t="str">
        <f t="shared" si="25"/>
        <v/>
      </c>
      <c r="G108" s="182" t="str">
        <f t="shared" si="20"/>
        <v/>
      </c>
      <c r="H108" s="183" t="str">
        <f t="shared" si="20"/>
        <v/>
      </c>
      <c r="K108" s="177">
        <v>-10</v>
      </c>
      <c r="L108" s="181" t="str">
        <f t="shared" si="21"/>
        <v/>
      </c>
      <c r="M108" s="182" t="str">
        <f t="shared" si="21"/>
        <v/>
      </c>
      <c r="N108" s="183" t="str">
        <f t="shared" si="21"/>
        <v/>
      </c>
      <c r="O108" s="178" t="str">
        <f t="shared" si="26"/>
        <v/>
      </c>
      <c r="P108" s="179" t="str">
        <f t="shared" si="22"/>
        <v/>
      </c>
      <c r="Q108" s="180" t="str">
        <f t="shared" si="22"/>
        <v/>
      </c>
    </row>
    <row r="109" spans="2:17" ht="15" thickBot="1">
      <c r="B109" s="184">
        <v>-15</v>
      </c>
      <c r="C109" s="185" t="str">
        <f t="shared" ref="C109:D109" si="29">IF(C31="","",C31)</f>
        <v/>
      </c>
      <c r="D109" s="186" t="str">
        <f t="shared" si="29"/>
        <v/>
      </c>
      <c r="E109" s="187" t="str">
        <f t="shared" si="24"/>
        <v/>
      </c>
      <c r="F109" s="188" t="str">
        <f t="shared" si="25"/>
        <v/>
      </c>
      <c r="G109" s="189" t="str">
        <f t="shared" si="20"/>
        <v/>
      </c>
      <c r="H109" s="190" t="str">
        <f t="shared" si="20"/>
        <v/>
      </c>
      <c r="K109" s="184"/>
      <c r="L109" s="188" t="str">
        <f t="shared" si="21"/>
        <v/>
      </c>
      <c r="M109" s="189" t="str">
        <f t="shared" si="21"/>
        <v/>
      </c>
      <c r="N109" s="190" t="str">
        <f t="shared" si="21"/>
        <v/>
      </c>
      <c r="O109" s="185" t="str">
        <f t="shared" si="26"/>
        <v/>
      </c>
      <c r="P109" s="186" t="str">
        <f t="shared" si="22"/>
        <v/>
      </c>
      <c r="Q109" s="187" t="str">
        <f t="shared" si="22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K14:K19"/>
    <mergeCell ref="Q14:Q19"/>
    <mergeCell ref="A27:A32"/>
    <mergeCell ref="F27:F32"/>
    <mergeCell ref="K27:K32"/>
    <mergeCell ref="Q24:U24"/>
    <mergeCell ref="Q27:Q32"/>
    <mergeCell ref="B4:C4"/>
    <mergeCell ref="C58:G58"/>
    <mergeCell ref="C40:G40"/>
    <mergeCell ref="A14:A19"/>
    <mergeCell ref="F14:F19"/>
    <mergeCell ref="J57:N57"/>
    <mergeCell ref="I41:M41"/>
    <mergeCell ref="I40:N40"/>
    <mergeCell ref="C103:E103"/>
    <mergeCell ref="F103:H103"/>
    <mergeCell ref="D70:F70"/>
    <mergeCell ref="G70:I70"/>
    <mergeCell ref="L103:N103"/>
    <mergeCell ref="D3:E3"/>
    <mergeCell ref="R4:S4"/>
    <mergeCell ref="F24:J24"/>
    <mergeCell ref="C41:G41"/>
    <mergeCell ref="D71:F71"/>
    <mergeCell ref="G71:I71"/>
    <mergeCell ref="K11:O11"/>
    <mergeCell ref="J58:N58"/>
    <mergeCell ref="K24:O24"/>
    <mergeCell ref="A11:E11"/>
    <mergeCell ref="F11:J11"/>
    <mergeCell ref="C57:G57"/>
    <mergeCell ref="A24:E24"/>
    <mergeCell ref="J70:N70"/>
    <mergeCell ref="J71:N71"/>
    <mergeCell ref="R5:S5"/>
    <mergeCell ref="R6:S6"/>
    <mergeCell ref="R7:S7"/>
    <mergeCell ref="R8:S8"/>
    <mergeCell ref="O103:Q103"/>
    <mergeCell ref="Q70:U70"/>
    <mergeCell ref="Q71:U71"/>
    <mergeCell ref="Q11:U11"/>
    <mergeCell ref="Q41:U41"/>
    <mergeCell ref="Q40:U40"/>
    <mergeCell ref="Q57:U57"/>
    <mergeCell ref="Q58:U58"/>
  </mergeCells>
  <phoneticPr fontId="2"/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topLeftCell="A27" workbookViewId="0">
      <selection activeCell="H35" sqref="H35"/>
    </sheetView>
  </sheetViews>
  <sheetFormatPr defaultRowHeight="13.2"/>
  <sheetData/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9</vt:i4>
      </vt:variant>
    </vt:vector>
  </HeadingPairs>
  <TitlesOfParts>
    <vt:vector size="11" baseType="lpstr">
      <vt:lpstr>DATA</vt:lpstr>
      <vt:lpstr>Sheet1</vt:lpstr>
      <vt:lpstr>Volumetric efficiency</vt:lpstr>
      <vt:lpstr>Cooling capacity</vt:lpstr>
      <vt:lpstr>Input</vt:lpstr>
      <vt:lpstr>入力Ｗ</vt:lpstr>
      <vt:lpstr>冷凍能力</vt:lpstr>
      <vt:lpstr>COP</vt:lpstr>
      <vt:lpstr>冷蔵庫条件冷凍能力</vt:lpstr>
      <vt:lpstr>冷蔵庫条件COP</vt:lpstr>
      <vt:lpstr>冷蔵庫条件ＣＯＰ　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シャープ(株)</dc:creator>
  <cp:lastModifiedBy>Office</cp:lastModifiedBy>
  <cp:lastPrinted>2010-03-09T11:32:41Z</cp:lastPrinted>
  <dcterms:created xsi:type="dcterms:W3CDTF">1997-11-22T08:36:05Z</dcterms:created>
  <dcterms:modified xsi:type="dcterms:W3CDTF">2026-07-13T07:58:26Z</dcterms:modified>
</cp:coreProperties>
</file>