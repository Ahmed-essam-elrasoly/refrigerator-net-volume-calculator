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8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drawings/drawing19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1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refrigerator-volume-calculator\"/>
    </mc:Choice>
  </mc:AlternateContent>
  <xr:revisionPtr revIDLastSave="0" documentId="8_{A0D81E5A-2EB6-48AE-978F-B809F793BE1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Volumetric efficiency" sheetId="14" r:id="rId2"/>
    <sheet name="Cooling capacity" sheetId="15" r:id="rId3"/>
    <sheet name="Input" sheetId="16" r:id="rId4"/>
    <sheet name="入力Ｗ" sheetId="4" r:id="rId5"/>
    <sheet name="冷凍能力" sheetId="5" r:id="rId6"/>
    <sheet name="COP" sheetId="12" r:id="rId7"/>
    <sheet name="冷蔵庫条件冷凍能力" sheetId="6" r:id="rId8"/>
    <sheet name="冷蔵庫条件COP" sheetId="10" r:id="rId9"/>
    <sheet name="冷蔵庫条件ＣＯＰ　比較" sheetId="17" r:id="rId10"/>
    <sheet name="Module1" sheetId="2" state="veryHidden" r:id=""/>
    <sheet name="Module2" sheetId="3" state="veryHidden" r:id=""/>
    <sheet name="Sheet1" sheetId="18" r:id="rId11"/>
  </sheets>
  <definedNames>
    <definedName name="_xlnm.Print_Titles" localSheetId="0">DATA!#REF!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U32" i="1" l="1"/>
  <c r="U31" i="1"/>
  <c r="U30" i="1"/>
  <c r="U29" i="1"/>
  <c r="U28" i="1"/>
  <c r="U27" i="1"/>
  <c r="U26" i="1"/>
  <c r="T26" i="1"/>
  <c r="S26" i="1"/>
  <c r="T14" i="1"/>
  <c r="U14" i="1"/>
  <c r="T15" i="1"/>
  <c r="U15" i="1"/>
  <c r="T16" i="1"/>
  <c r="U16" i="1"/>
  <c r="T17" i="1"/>
  <c r="U17" i="1"/>
  <c r="T18" i="1"/>
  <c r="U18" i="1"/>
  <c r="T19" i="1"/>
  <c r="U19" i="1"/>
  <c r="S15" i="1"/>
  <c r="S16" i="1"/>
  <c r="S17" i="1"/>
  <c r="S18" i="1"/>
  <c r="S19" i="1"/>
  <c r="S14" i="1"/>
  <c r="R15" i="1"/>
  <c r="R16" i="1"/>
  <c r="R17" i="1"/>
  <c r="R18" i="1"/>
  <c r="R19" i="1"/>
  <c r="R14" i="1"/>
  <c r="T13" i="1"/>
  <c r="U13" i="1"/>
  <c r="S13" i="1"/>
  <c r="G15" i="1" l="1"/>
  <c r="G16" i="1"/>
  <c r="G17" i="1"/>
  <c r="G18" i="1"/>
  <c r="G19" i="1"/>
  <c r="G14" i="1"/>
  <c r="C105" i="1"/>
  <c r="D105" i="1"/>
  <c r="C106" i="1"/>
  <c r="D106" i="1"/>
  <c r="C107" i="1"/>
  <c r="D107" i="1"/>
  <c r="C108" i="1"/>
  <c r="D108" i="1"/>
  <c r="C109" i="1"/>
  <c r="D109" i="1"/>
  <c r="E105" i="1"/>
  <c r="E106" i="1"/>
  <c r="E107" i="1"/>
  <c r="E108" i="1"/>
  <c r="E109" i="1"/>
  <c r="G105" i="1"/>
  <c r="H105" i="1"/>
  <c r="G106" i="1"/>
  <c r="H106" i="1"/>
  <c r="G107" i="1"/>
  <c r="H107" i="1"/>
  <c r="G108" i="1"/>
  <c r="H108" i="1"/>
  <c r="G109" i="1"/>
  <c r="H109" i="1"/>
  <c r="F106" i="1"/>
  <c r="F107" i="1"/>
  <c r="F108" i="1"/>
  <c r="F109" i="1"/>
  <c r="F105" i="1"/>
  <c r="O105" i="1"/>
  <c r="P105" i="1"/>
  <c r="Q105" i="1"/>
  <c r="O106" i="1"/>
  <c r="P106" i="1"/>
  <c r="Q106" i="1"/>
  <c r="O107" i="1"/>
  <c r="P107" i="1"/>
  <c r="Q107" i="1"/>
  <c r="O108" i="1"/>
  <c r="P108" i="1"/>
  <c r="Q108" i="1"/>
  <c r="O109" i="1"/>
  <c r="P109" i="1"/>
  <c r="Q109" i="1"/>
  <c r="M105" i="1"/>
  <c r="N105" i="1"/>
  <c r="M106" i="1"/>
  <c r="N106" i="1"/>
  <c r="M107" i="1"/>
  <c r="N107" i="1"/>
  <c r="M108" i="1"/>
  <c r="N108" i="1"/>
  <c r="M109" i="1"/>
  <c r="N109" i="1"/>
  <c r="L106" i="1"/>
  <c r="L107" i="1"/>
  <c r="L108" i="1"/>
  <c r="L109" i="1"/>
  <c r="L105" i="1"/>
  <c r="R8" i="1" l="1"/>
  <c r="R7" i="1"/>
  <c r="R6" i="1"/>
  <c r="R5" i="1"/>
  <c r="R4" i="1"/>
  <c r="O6" i="1"/>
  <c r="O5" i="1"/>
  <c r="O4" i="1"/>
  <c r="E72" i="1" l="1"/>
  <c r="G72" i="1" s="1"/>
  <c r="D72" i="1"/>
  <c r="F72" i="1" s="1"/>
  <c r="H72" i="1"/>
  <c r="J60" i="1"/>
  <c r="Q60" i="1" s="1"/>
  <c r="K60" i="1"/>
  <c r="R60" i="1" s="1"/>
  <c r="L60" i="1"/>
  <c r="S60" i="1" s="1"/>
  <c r="M60" i="1"/>
  <c r="T60" i="1" s="1"/>
  <c r="N60" i="1"/>
  <c r="U60" i="1" s="1"/>
  <c r="K61" i="1"/>
  <c r="R61" i="1" s="1"/>
  <c r="L61" i="1"/>
  <c r="S61" i="1" s="1"/>
  <c r="M61" i="1"/>
  <c r="T61" i="1" s="1"/>
  <c r="N61" i="1"/>
  <c r="U61" i="1" s="1"/>
  <c r="K62" i="1"/>
  <c r="R62" i="1" s="1"/>
  <c r="L62" i="1"/>
  <c r="S62" i="1" s="1"/>
  <c r="M62" i="1"/>
  <c r="T62" i="1" s="1"/>
  <c r="N62" i="1"/>
  <c r="U62" i="1" s="1"/>
  <c r="K63" i="1"/>
  <c r="R63" i="1" s="1"/>
  <c r="L63" i="1"/>
  <c r="S63" i="1" s="1"/>
  <c r="M63" i="1"/>
  <c r="T63" i="1" s="1"/>
  <c r="N63" i="1"/>
  <c r="U63" i="1" s="1"/>
  <c r="K64" i="1"/>
  <c r="R64" i="1" s="1"/>
  <c r="L64" i="1"/>
  <c r="S64" i="1" s="1"/>
  <c r="M64" i="1"/>
  <c r="T64" i="1" s="1"/>
  <c r="N64" i="1"/>
  <c r="U64" i="1" s="1"/>
  <c r="K65" i="1"/>
  <c r="R65" i="1" s="1"/>
  <c r="L65" i="1"/>
  <c r="S65" i="1" s="1"/>
  <c r="M65" i="1"/>
  <c r="T65" i="1" s="1"/>
  <c r="N65" i="1"/>
  <c r="U65" i="1" s="1"/>
  <c r="K66" i="1"/>
  <c r="R66" i="1" s="1"/>
  <c r="L66" i="1"/>
  <c r="S66" i="1" s="1"/>
  <c r="M66" i="1"/>
  <c r="T66" i="1" s="1"/>
  <c r="N66" i="1"/>
  <c r="U66" i="1" s="1"/>
  <c r="K67" i="1"/>
  <c r="R67" i="1" s="1"/>
  <c r="L67" i="1"/>
  <c r="S67" i="1" s="1"/>
  <c r="M67" i="1"/>
  <c r="T67" i="1" s="1"/>
  <c r="N67" i="1"/>
  <c r="U67" i="1" s="1"/>
  <c r="J61" i="1"/>
  <c r="Q61" i="1" s="1"/>
  <c r="J62" i="1"/>
  <c r="Q62" i="1" s="1"/>
  <c r="J63" i="1"/>
  <c r="Q63" i="1" s="1"/>
  <c r="J64" i="1"/>
  <c r="Q64" i="1" s="1"/>
  <c r="J65" i="1"/>
  <c r="Q65" i="1" s="1"/>
  <c r="J66" i="1"/>
  <c r="Q66" i="1" s="1"/>
  <c r="J67" i="1"/>
  <c r="Q67" i="1" s="1"/>
  <c r="U50" i="1"/>
  <c r="T50" i="1"/>
  <c r="S50" i="1"/>
  <c r="R50" i="1"/>
  <c r="Q50" i="1"/>
  <c r="U49" i="1"/>
  <c r="T49" i="1"/>
  <c r="S49" i="1"/>
  <c r="R49" i="1"/>
  <c r="Q49" i="1"/>
  <c r="U48" i="1"/>
  <c r="T48" i="1"/>
  <c r="S48" i="1"/>
  <c r="R48" i="1"/>
  <c r="Q48" i="1"/>
  <c r="U47" i="1"/>
  <c r="T47" i="1"/>
  <c r="S47" i="1"/>
  <c r="R47" i="1"/>
  <c r="Q47" i="1"/>
  <c r="U46" i="1"/>
  <c r="T46" i="1"/>
  <c r="S46" i="1"/>
  <c r="R46" i="1"/>
  <c r="Q46" i="1"/>
  <c r="U45" i="1"/>
  <c r="T45" i="1"/>
  <c r="S45" i="1"/>
  <c r="R45" i="1"/>
  <c r="Q45" i="1"/>
  <c r="U44" i="1"/>
  <c r="T44" i="1"/>
  <c r="S44" i="1"/>
  <c r="R44" i="1"/>
  <c r="Q44" i="1"/>
  <c r="U43" i="1"/>
  <c r="T43" i="1"/>
  <c r="S43" i="1"/>
  <c r="R43" i="1"/>
  <c r="Q43" i="1"/>
  <c r="K5" i="1"/>
  <c r="J13" i="1"/>
  <c r="I13" i="1"/>
  <c r="H13" i="1"/>
  <c r="I7" i="1"/>
  <c r="T73" i="1" l="1"/>
  <c r="R73" i="1"/>
  <c r="Q74" i="1"/>
  <c r="S74" i="1"/>
  <c r="Q75" i="1"/>
  <c r="S75" i="1"/>
  <c r="Q76" i="1"/>
  <c r="S76" i="1"/>
  <c r="Q77" i="1"/>
  <c r="S77" i="1"/>
  <c r="Q78" i="1"/>
  <c r="S78" i="1"/>
  <c r="Q79" i="1"/>
  <c r="S79" i="1"/>
  <c r="Q80" i="1"/>
  <c r="S80" i="1"/>
  <c r="U74" i="1"/>
  <c r="U76" i="1"/>
  <c r="U78" i="1"/>
  <c r="U80" i="1"/>
  <c r="R74" i="1"/>
  <c r="T74" i="1"/>
  <c r="R75" i="1"/>
  <c r="T75" i="1"/>
  <c r="R76" i="1"/>
  <c r="T76" i="1"/>
  <c r="R77" i="1"/>
  <c r="T77" i="1"/>
  <c r="R78" i="1"/>
  <c r="T78" i="1"/>
  <c r="R79" i="1"/>
  <c r="T79" i="1"/>
  <c r="R80" i="1"/>
  <c r="T80" i="1"/>
  <c r="U75" i="1"/>
  <c r="U77" i="1"/>
  <c r="U79" i="1"/>
  <c r="U73" i="1"/>
  <c r="S73" i="1"/>
  <c r="Q73" i="1"/>
</calcChain>
</file>

<file path=xl/sharedStrings.xml><?xml version="1.0" encoding="utf-8"?>
<sst xmlns="http://schemas.openxmlformats.org/spreadsheetml/2006/main" count="124" uniqueCount="75">
  <si>
    <t>(kcal/h)</t>
  </si>
  <si>
    <t>(CC)</t>
  </si>
  <si>
    <t>(  W  )</t>
  </si>
  <si>
    <t>(rpm)</t>
  </si>
  <si>
    <t>C.O P.</t>
  </si>
  <si>
    <t>度</t>
  </si>
  <si>
    <t>蒸</t>
    <rPh sb="0" eb="1">
      <t>ジョウハツ</t>
    </rPh>
    <phoneticPr fontId="2"/>
  </si>
  <si>
    <t>発</t>
    <phoneticPr fontId="2"/>
  </si>
  <si>
    <t>温</t>
    <phoneticPr fontId="2"/>
  </si>
  <si>
    <t>℃</t>
    <phoneticPr fontId="2"/>
  </si>
  <si>
    <t>凝縮温度  ℃</t>
    <rPh sb="0" eb="2">
      <t>ギョウシュク</t>
    </rPh>
    <rPh sb="2" eb="4">
      <t>オンド</t>
    </rPh>
    <phoneticPr fontId="2"/>
  </si>
  <si>
    <t>冷凍能力  Ｑ(kcal/hr) 計算値</t>
    <rPh sb="17" eb="19">
      <t>ケイサン</t>
    </rPh>
    <rPh sb="19" eb="20">
      <t>チ</t>
    </rPh>
    <phoneticPr fontId="2"/>
  </si>
  <si>
    <t>入力 W 計算値</t>
    <rPh sb="0" eb="2">
      <t>ニュウリョク</t>
    </rPh>
    <rPh sb="5" eb="8">
      <t>ケイサンチ</t>
    </rPh>
    <phoneticPr fontId="2"/>
  </si>
  <si>
    <t>体積効率　計算値</t>
    <rPh sb="0" eb="2">
      <t>タイセキ</t>
    </rPh>
    <rPh sb="2" eb="4">
      <t>コウリツ</t>
    </rPh>
    <rPh sb="5" eb="7">
      <t>ケイサン</t>
    </rPh>
    <rPh sb="7" eb="8">
      <t>チ</t>
    </rPh>
    <phoneticPr fontId="2"/>
  </si>
  <si>
    <t>体積効率　測定値</t>
    <rPh sb="0" eb="2">
      <t>タイセキ</t>
    </rPh>
    <rPh sb="2" eb="4">
      <t>コウリツ</t>
    </rPh>
    <rPh sb="5" eb="8">
      <t>ソクテイチ</t>
    </rPh>
    <phoneticPr fontId="2"/>
  </si>
  <si>
    <t>入力  Ｗ</t>
    <phoneticPr fontId="2"/>
  </si>
  <si>
    <t>PC</t>
    <phoneticPr fontId="2"/>
  </si>
  <si>
    <t>PE</t>
    <phoneticPr fontId="2"/>
  </si>
  <si>
    <t>COP</t>
    <phoneticPr fontId="2"/>
  </si>
  <si>
    <t>W</t>
    <phoneticPr fontId="2"/>
  </si>
  <si>
    <t>計算結果</t>
    <rPh sb="0" eb="2">
      <t>ケイサン</t>
    </rPh>
    <rPh sb="2" eb="4">
      <t>ケッカ</t>
    </rPh>
    <phoneticPr fontId="2"/>
  </si>
  <si>
    <t>Y</t>
    <phoneticPr fontId="2"/>
  </si>
  <si>
    <t>コンプ測定条件</t>
    <rPh sb="3" eb="5">
      <t>ソクテイ</t>
    </rPh>
    <rPh sb="5" eb="7">
      <t>ジョウケン</t>
    </rPh>
    <phoneticPr fontId="2"/>
  </si>
  <si>
    <t>有効冷凍能力に対する　COP</t>
    <rPh sb="0" eb="2">
      <t>ユウコウ</t>
    </rPh>
    <rPh sb="2" eb="4">
      <t>レイトウ</t>
    </rPh>
    <rPh sb="4" eb="6">
      <t>ノウリョク</t>
    </rPh>
    <rPh sb="7" eb="8">
      <t>タイ</t>
    </rPh>
    <phoneticPr fontId="2"/>
  </si>
  <si>
    <t>有効冷凍能力の　COP比</t>
    <rPh sb="0" eb="2">
      <t>ユウコウ</t>
    </rPh>
    <rPh sb="2" eb="4">
      <t>レイトウ</t>
    </rPh>
    <rPh sb="4" eb="6">
      <t>ノウリョク</t>
    </rPh>
    <rPh sb="11" eb="12">
      <t>ヒ</t>
    </rPh>
    <phoneticPr fontId="2"/>
  </si>
  <si>
    <t>有効冷凍能力  Ｑ(kcal/hr) 計算値</t>
    <rPh sb="0" eb="2">
      <t>ユウコウ</t>
    </rPh>
    <rPh sb="19" eb="21">
      <t>ケイサン</t>
    </rPh>
    <rPh sb="21" eb="22">
      <t>チ</t>
    </rPh>
    <phoneticPr fontId="2"/>
  </si>
  <si>
    <t>SQ47LAEG 220V 50Hz</t>
    <phoneticPr fontId="2"/>
  </si>
  <si>
    <t>A</t>
    <phoneticPr fontId="2"/>
  </si>
  <si>
    <t>B</t>
    <phoneticPr fontId="2"/>
  </si>
  <si>
    <t>C</t>
    <phoneticPr fontId="2"/>
  </si>
  <si>
    <t>AW</t>
    <phoneticPr fontId="2"/>
  </si>
  <si>
    <t>BW</t>
    <phoneticPr fontId="2"/>
  </si>
  <si>
    <t>CW</t>
    <phoneticPr fontId="2"/>
  </si>
  <si>
    <t>EW</t>
    <phoneticPr fontId="2"/>
  </si>
  <si>
    <t>DW</t>
    <phoneticPr fontId="2"/>
  </si>
  <si>
    <t>ηv=A+B*PC/PE+C*PC</t>
    <phoneticPr fontId="2"/>
  </si>
  <si>
    <t>W=AW+BW*TE+CW*TC+DW*TC*TE+EW*TE^2</t>
    <phoneticPr fontId="2"/>
  </si>
  <si>
    <t>入力　近似式とデーターの比較</t>
    <rPh sb="0" eb="2">
      <t>ニュウリョク</t>
    </rPh>
    <rPh sb="3" eb="6">
      <t>キンジシキ</t>
    </rPh>
    <rPh sb="12" eb="14">
      <t>ヒカク</t>
    </rPh>
    <phoneticPr fontId="2"/>
  </si>
  <si>
    <t>冷凍能力　近似式とデーターの比較</t>
    <rPh sb="0" eb="2">
      <t>レイトウ</t>
    </rPh>
    <rPh sb="2" eb="4">
      <t>ノウリョク</t>
    </rPh>
    <rPh sb="5" eb="8">
      <t>キンジシキ</t>
    </rPh>
    <rPh sb="14" eb="16">
      <t>ヒカク</t>
    </rPh>
    <phoneticPr fontId="2"/>
  </si>
  <si>
    <t>データー</t>
    <phoneticPr fontId="2"/>
  </si>
  <si>
    <t>データー</t>
    <phoneticPr fontId="2"/>
  </si>
  <si>
    <t>Input  （Ｗ）</t>
    <phoneticPr fontId="2"/>
  </si>
  <si>
    <t>Cooling Capacity Ｑ(kcal/hr)</t>
    <phoneticPr fontId="2"/>
  </si>
  <si>
    <t>Cylinder volume</t>
    <phoneticPr fontId="2"/>
  </si>
  <si>
    <t xml:space="preserve">Speed </t>
    <phoneticPr fontId="2"/>
  </si>
  <si>
    <t>Data quantity of Cond.</t>
    <phoneticPr fontId="2"/>
  </si>
  <si>
    <t>Data quantity of  Evap..</t>
    <phoneticPr fontId="2"/>
  </si>
  <si>
    <t>Total data quantity</t>
    <phoneticPr fontId="2"/>
  </si>
  <si>
    <t>Cooling Capacity</t>
    <phoneticPr fontId="2"/>
  </si>
  <si>
    <t>Rated</t>
    <phoneticPr fontId="2"/>
  </si>
  <si>
    <t>Input</t>
    <phoneticPr fontId="2"/>
  </si>
  <si>
    <t>Volumetric efficiency</t>
    <phoneticPr fontId="2"/>
  </si>
  <si>
    <t>Input</t>
    <phoneticPr fontId="2"/>
  </si>
  <si>
    <t xml:space="preserve">Volumetric efficiency ＥＴＶ </t>
    <phoneticPr fontId="2"/>
  </si>
  <si>
    <t xml:space="preserve"> Cond. Temp.（℃） </t>
    <phoneticPr fontId="2"/>
  </si>
  <si>
    <t xml:space="preserve"> Cond. Temp.（℃） </t>
    <phoneticPr fontId="2"/>
  </si>
  <si>
    <t xml:space="preserve"> Cond. Temp.（℃） </t>
    <phoneticPr fontId="2"/>
  </si>
  <si>
    <t xml:space="preserve"> Cond. Temp.（℃） </t>
    <phoneticPr fontId="2"/>
  </si>
  <si>
    <t>Evap. Temp.</t>
    <phoneticPr fontId="2"/>
  </si>
  <si>
    <t>Refrigerant　R-134a=1, R-600a=2</t>
    <phoneticPr fontId="2"/>
  </si>
  <si>
    <t>pcs</t>
    <phoneticPr fontId="2"/>
  </si>
  <si>
    <t>COP</t>
    <phoneticPr fontId="2"/>
  </si>
  <si>
    <t>Calculation by the formula</t>
    <phoneticPr fontId="2"/>
  </si>
  <si>
    <t>Calculation of compressor performance formula data.</t>
  </si>
  <si>
    <t>Compressor name</t>
  </si>
  <si>
    <t>After input the yellow marked data press Calculate</t>
  </si>
  <si>
    <t>R-600a</t>
  </si>
  <si>
    <t>ƒÅv=</t>
  </si>
  <si>
    <t>* PC/PE +</t>
  </si>
  <si>
    <t>* PC</t>
  </si>
  <si>
    <t>W=</t>
  </si>
  <si>
    <t>*TE+</t>
  </si>
  <si>
    <t>*TC+</t>
  </si>
  <si>
    <t>*TC*TE+</t>
  </si>
  <si>
    <t>*TE^2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</si>
</sst>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0.0000"/>
    <numFmt numFmtId="165" formatCode="0.00000"/>
    <numFmt numFmtId="166" formatCode="0.000"/>
    <numFmt numFmtId="167" formatCode="0.0"/>
    <numFmt numFmtId="168" formatCode="###"/>
    <numFmt numFmtId="169" formatCode="#,###.#"/>
    <numFmt numFmtId="170" formatCode="###.0"/>
    <numFmt numFmtId="171" formatCode="#,###.0"/>
    <numFmt numFmtId="172" formatCode="0.0_ "/>
    <numFmt numFmtId="173" formatCode="0.0_);[Red]\(0.0\)"/>
    <numFmt numFmtId="174" formatCode="0_ "/>
    <numFmt numFmtId="175" formatCode="0.0000&quot;+&quot;"/>
    <numFmt numFmtId="176" formatCode="000.00&quot;+&quot;"/>
    <numFmt numFmtId="177" formatCode="0.00&quot;+&quot;"/>
    <numFmt numFmtId="178" formatCode="0.000_ "/>
    <numFmt numFmtId="179" formatCode="0.0%"/>
    <numFmt numFmtId="180" formatCode="0.000000_ "/>
    <numFmt numFmtId="181" formatCode="0.00000_ "/>
    <numFmt numFmtId="182" formatCode="0.00_ "/>
    <numFmt numFmtId="183" formatCode="0.0000_ "/>
    <numFmt numFmtId="184" formatCode="#,##0.0_ "/>
    <numFmt numFmtId="185" formatCode="#,##0.00_ "/>
  </numFmts>
  <fonts count="15">
    <font>
      <sz val="11"/>
      <name val="明朝"/>
      <family val="3"/>
      <charset val="128"/>
    </font>
    <font>
      <sz val="11"/>
      <name val="明朝"/>
      <family val="3"/>
      <charset val="128"/>
    </font>
    <font>
      <sz val="6"/>
      <name val="ＭＳ Ｐ明朝"/>
      <family val="1"/>
      <charset val="128"/>
    </font>
    <font>
      <sz val="6"/>
      <name val="明朝"/>
      <family val="3"/>
      <charset val="128"/>
    </font>
    <font>
      <sz val="11"/>
      <color rgb="FF000000"/>
      <name val="ＭＳ Ｐゴシック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9"/>
      <name val="Calibri"/>
      <family val="2"/>
      <scheme val="minor"/>
    </font>
    <font>
      <sz val="12"/>
      <name val="Calibri"/>
      <family val="2"/>
      <scheme val="minor"/>
    </font>
    <font>
      <b/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3">
    <xf numFmtId="0" fontId="0" fillId="0" borderId="0" xfId="0"/>
    <xf numFmtId="0" fontId="5" fillId="0" borderId="0" xfId="0" applyFo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Continuous"/>
    </xf>
    <xf numFmtId="0" fontId="5" fillId="0" borderId="0" xfId="0" applyFont="1" applyAlignment="1">
      <alignment horizontal="left"/>
    </xf>
    <xf numFmtId="0" fontId="5" fillId="0" borderId="2" xfId="0" applyFont="1" applyBorder="1" applyAlignment="1">
      <alignment horizontal="centerContinuous"/>
    </xf>
    <xf numFmtId="0" fontId="5" fillId="0" borderId="1" xfId="0" applyFont="1" applyBorder="1" applyAlignment="1">
      <alignment horizontal="centerContinuous"/>
    </xf>
    <xf numFmtId="0" fontId="9" fillId="2" borderId="0" xfId="0" applyFont="1" applyFill="1" applyAlignment="1">
      <alignment horizontal="center"/>
    </xf>
    <xf numFmtId="0" fontId="5" fillId="0" borderId="0" xfId="0" applyFont="1" applyAlignment="1">
      <alignment horizontal="centerContinuous"/>
    </xf>
    <xf numFmtId="0" fontId="10" fillId="0" borderId="0" xfId="0" applyFont="1" applyAlignment="1">
      <alignment horizontal="centerContinuous"/>
    </xf>
    <xf numFmtId="0" fontId="11" fillId="0" borderId="0" xfId="0" applyFont="1" applyAlignment="1">
      <alignment horizontal="centerContinuous"/>
    </xf>
    <xf numFmtId="0" fontId="8" fillId="3" borderId="6" xfId="0" applyFont="1" applyFill="1" applyBorder="1" applyAlignment="1">
      <alignment horizontal="right"/>
    </xf>
    <xf numFmtId="0" fontId="5" fillId="0" borderId="6" xfId="0" applyFont="1" applyBorder="1" applyAlignment="1">
      <alignment horizontal="centerContinuous"/>
    </xf>
    <xf numFmtId="0" fontId="5" fillId="0" borderId="10" xfId="0" applyFont="1" applyBorder="1" applyAlignment="1">
      <alignment horizontal="center" vertical="center"/>
    </xf>
    <xf numFmtId="183" fontId="5" fillId="0" borderId="10" xfId="0" applyNumberFormat="1" applyFont="1" applyBorder="1"/>
    <xf numFmtId="0" fontId="5" fillId="0" borderId="10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167" fontId="5" fillId="0" borderId="11" xfId="0" applyNumberFormat="1" applyFont="1" applyBorder="1"/>
    <xf numFmtId="0" fontId="12" fillId="0" borderId="9" xfId="0" applyFont="1" applyBorder="1"/>
    <xf numFmtId="172" fontId="5" fillId="0" borderId="2" xfId="0" applyNumberFormat="1" applyFont="1" applyBorder="1"/>
    <xf numFmtId="0" fontId="5" fillId="0" borderId="1" xfId="0" applyFont="1" applyBorder="1"/>
    <xf numFmtId="181" fontId="5" fillId="0" borderId="10" xfId="0" applyNumberFormat="1" applyFont="1" applyBorder="1"/>
    <xf numFmtId="0" fontId="12" fillId="0" borderId="4" xfId="0" applyFont="1" applyBorder="1" applyAlignment="1">
      <alignment horizontal="left"/>
    </xf>
    <xf numFmtId="0" fontId="5" fillId="0" borderId="4" xfId="0" applyFont="1" applyBorder="1" applyAlignment="1">
      <alignment horizontal="centerContinuous"/>
    </xf>
    <xf numFmtId="0" fontId="5" fillId="0" borderId="5" xfId="0" applyFont="1" applyBorder="1" applyAlignment="1">
      <alignment horizontal="centerContinuous"/>
    </xf>
    <xf numFmtId="167" fontId="5" fillId="0" borderId="2" xfId="0" applyNumberFormat="1" applyFont="1" applyBorder="1"/>
    <xf numFmtId="180" fontId="5" fillId="0" borderId="10" xfId="0" applyNumberFormat="1" applyFont="1" applyBorder="1"/>
    <xf numFmtId="2" fontId="5" fillId="0" borderId="2" xfId="0" applyNumberFormat="1" applyFont="1" applyBorder="1"/>
    <xf numFmtId="0" fontId="12" fillId="0" borderId="4" xfId="0" applyFont="1" applyBorder="1" applyAlignment="1">
      <alignment horizontal="centerContinuous"/>
    </xf>
    <xf numFmtId="0" fontId="5" fillId="0" borderId="6" xfId="0" applyFont="1" applyBorder="1" applyAlignment="1">
      <alignment horizontal="right"/>
    </xf>
    <xf numFmtId="0" fontId="10" fillId="0" borderId="2" xfId="0" applyFont="1" applyBorder="1"/>
    <xf numFmtId="0" fontId="5" fillId="0" borderId="1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3" xfId="0" applyFont="1" applyBorder="1" applyAlignment="1">
      <alignment horizontal="centerContinuous"/>
    </xf>
    <xf numFmtId="0" fontId="5" fillId="0" borderId="13" xfId="0" applyFont="1" applyBorder="1" applyAlignment="1">
      <alignment horizontal="center"/>
    </xf>
    <xf numFmtId="2" fontId="5" fillId="0" borderId="0" xfId="0" applyNumberFormat="1" applyFont="1"/>
    <xf numFmtId="0" fontId="5" fillId="0" borderId="11" xfId="0" applyFont="1" applyBorder="1"/>
    <xf numFmtId="0" fontId="5" fillId="0" borderId="9" xfId="0" applyFont="1" applyBorder="1"/>
    <xf numFmtId="0" fontId="5" fillId="0" borderId="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3" borderId="1" xfId="0" applyFont="1" applyFill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168" fontId="13" fillId="0" borderId="1" xfId="0" applyNumberFormat="1" applyFont="1" applyBorder="1" applyAlignment="1">
      <alignment horizontal="center"/>
    </xf>
    <xf numFmtId="166" fontId="5" fillId="0" borderId="0" xfId="0" applyNumberFormat="1" applyFont="1"/>
    <xf numFmtId="0" fontId="5" fillId="0" borderId="4" xfId="0" applyFont="1" applyBorder="1"/>
    <xf numFmtId="0" fontId="5" fillId="0" borderId="5" xfId="0" applyFont="1" applyBorder="1"/>
    <xf numFmtId="167" fontId="5" fillId="0" borderId="10" xfId="0" applyNumberFormat="1" applyFont="1" applyBorder="1" applyAlignment="1">
      <alignment horizontal="center"/>
    </xf>
    <xf numFmtId="170" fontId="13" fillId="3" borderId="6" xfId="0" applyNumberFormat="1" applyFont="1" applyFill="1" applyBorder="1" applyAlignment="1">
      <alignment horizontal="right"/>
    </xf>
    <xf numFmtId="184" fontId="13" fillId="3" borderId="10" xfId="0" applyNumberFormat="1" applyFont="1" applyFill="1" applyBorder="1" applyAlignment="1">
      <alignment horizontal="right"/>
    </xf>
    <xf numFmtId="170" fontId="13" fillId="0" borderId="6" xfId="0" applyNumberFormat="1" applyFont="1" applyBorder="1" applyAlignment="1">
      <alignment horizontal="right"/>
    </xf>
    <xf numFmtId="172" fontId="13" fillId="3" borderId="10" xfId="0" applyNumberFormat="1" applyFont="1" applyFill="1" applyBorder="1"/>
    <xf numFmtId="166" fontId="13" fillId="0" borderId="1" xfId="0" applyNumberFormat="1" applyFont="1" applyBorder="1" applyAlignment="1">
      <alignment horizontal="center"/>
    </xf>
    <xf numFmtId="172" fontId="13" fillId="0" borderId="10" xfId="0" applyNumberFormat="1" applyFont="1" applyBorder="1"/>
    <xf numFmtId="182" fontId="13" fillId="0" borderId="10" xfId="0" applyNumberFormat="1" applyFont="1" applyBorder="1" applyAlignment="1">
      <alignment horizontal="right"/>
    </xf>
    <xf numFmtId="166" fontId="13" fillId="0" borderId="5" xfId="0" applyNumberFormat="1" applyFont="1" applyBorder="1" applyAlignment="1">
      <alignment horizontal="center"/>
    </xf>
    <xf numFmtId="169" fontId="13" fillId="3" borderId="10" xfId="0" applyNumberFormat="1" applyFont="1" applyFill="1" applyBorder="1" applyAlignment="1">
      <alignment horizontal="right"/>
    </xf>
    <xf numFmtId="167" fontId="13" fillId="3" borderId="5" xfId="0" applyNumberFormat="1" applyFont="1" applyFill="1" applyBorder="1" applyAlignment="1">
      <alignment horizontal="center"/>
    </xf>
    <xf numFmtId="169" fontId="13" fillId="3" borderId="6" xfId="0" applyNumberFormat="1" applyFont="1" applyFill="1" applyBorder="1" applyAlignment="1">
      <alignment horizontal="right"/>
    </xf>
    <xf numFmtId="169" fontId="13" fillId="3" borderId="5" xfId="0" applyNumberFormat="1" applyFont="1" applyFill="1" applyBorder="1" applyAlignment="1">
      <alignment horizontal="right"/>
    </xf>
    <xf numFmtId="169" fontId="13" fillId="3" borderId="24" xfId="0" applyNumberFormat="1" applyFont="1" applyFill="1" applyBorder="1" applyAlignment="1">
      <alignment horizontal="right"/>
    </xf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75" fontId="7" fillId="0" borderId="0" xfId="0" applyNumberFormat="1" applyFont="1"/>
    <xf numFmtId="180" fontId="7" fillId="0" borderId="0" xfId="0" applyNumberFormat="1" applyFont="1"/>
    <xf numFmtId="181" fontId="7" fillId="0" borderId="0" xfId="0" applyNumberFormat="1" applyFont="1"/>
    <xf numFmtId="165" fontId="7" fillId="0" borderId="0" xfId="0" applyNumberFormat="1" applyFont="1" applyAlignment="1">
      <alignment horizontal="centerContinuous"/>
    </xf>
    <xf numFmtId="1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77" fontId="7" fillId="0" borderId="0" xfId="0" applyNumberFormat="1" applyFont="1"/>
    <xf numFmtId="164" fontId="7" fillId="0" borderId="0" xfId="0" applyNumberFormat="1" applyFont="1"/>
    <xf numFmtId="176" fontId="7" fillId="0" borderId="0" xfId="0" applyNumberFormat="1" applyFont="1"/>
    <xf numFmtId="166" fontId="7" fillId="0" borderId="0" xfId="0" applyNumberFormat="1" applyFont="1"/>
    <xf numFmtId="0" fontId="7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0" xfId="0" applyFont="1"/>
    <xf numFmtId="171" fontId="13" fillId="0" borderId="10" xfId="0" applyNumberFormat="1" applyFont="1" applyBorder="1"/>
    <xf numFmtId="171" fontId="13" fillId="0" borderId="1" xfId="0" applyNumberFormat="1" applyFont="1" applyBorder="1"/>
    <xf numFmtId="171" fontId="13" fillId="0" borderId="3" xfId="0" applyNumberFormat="1" applyFont="1" applyBorder="1"/>
    <xf numFmtId="2" fontId="13" fillId="0" borderId="1" xfId="0" applyNumberFormat="1" applyFont="1" applyBorder="1" applyAlignment="1">
      <alignment horizontal="center"/>
    </xf>
    <xf numFmtId="171" fontId="13" fillId="0" borderId="6" xfId="0" applyNumberFormat="1" applyFont="1" applyBorder="1"/>
    <xf numFmtId="171" fontId="13" fillId="0" borderId="5" xfId="0" applyNumberFormat="1" applyFont="1" applyBorder="1"/>
    <xf numFmtId="171" fontId="13" fillId="0" borderId="24" xfId="0" applyNumberFormat="1" applyFont="1" applyBorder="1"/>
    <xf numFmtId="2" fontId="13" fillId="0" borderId="5" xfId="0" applyNumberFormat="1" applyFont="1" applyBorder="1" applyAlignment="1">
      <alignment horizontal="center"/>
    </xf>
    <xf numFmtId="170" fontId="13" fillId="0" borderId="6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2" fontId="5" fillId="0" borderId="0" xfId="0" applyNumberFormat="1" applyFont="1" applyAlignment="1">
      <alignment horizontal="left"/>
    </xf>
    <xf numFmtId="164" fontId="5" fillId="0" borderId="0" xfId="0" applyNumberFormat="1" applyFont="1"/>
    <xf numFmtId="165" fontId="5" fillId="0" borderId="0" xfId="0" applyNumberFormat="1" applyFont="1"/>
    <xf numFmtId="0" fontId="8" fillId="0" borderId="0" xfId="0" applyFont="1"/>
    <xf numFmtId="166" fontId="5" fillId="0" borderId="0" xfId="0" applyNumberFormat="1" applyFont="1" applyAlignment="1">
      <alignment horizontal="centerContinuous"/>
    </xf>
    <xf numFmtId="0" fontId="8" fillId="0" borderId="0" xfId="0" applyFont="1" applyAlignment="1">
      <alignment horizontal="centerContinuous"/>
    </xf>
    <xf numFmtId="165" fontId="5" fillId="0" borderId="2" xfId="0" applyNumberFormat="1" applyFont="1" applyBorder="1"/>
    <xf numFmtId="2" fontId="5" fillId="0" borderId="3" xfId="0" applyNumberFormat="1" applyFont="1" applyBorder="1"/>
    <xf numFmtId="0" fontId="5" fillId="0" borderId="7" xfId="0" applyFont="1" applyBorder="1"/>
    <xf numFmtId="0" fontId="5" fillId="0" borderId="22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6" xfId="0" applyFont="1" applyBorder="1"/>
    <xf numFmtId="174" fontId="5" fillId="0" borderId="10" xfId="0" applyNumberFormat="1" applyFont="1" applyBorder="1" applyAlignment="1">
      <alignment horizontal="centerContinuous"/>
    </xf>
    <xf numFmtId="174" fontId="5" fillId="0" borderId="10" xfId="0" applyNumberFormat="1" applyFont="1" applyBorder="1"/>
    <xf numFmtId="2" fontId="5" fillId="0" borderId="10" xfId="0" applyNumberFormat="1" applyFont="1" applyBorder="1"/>
    <xf numFmtId="0" fontId="5" fillId="0" borderId="10" xfId="0" applyFont="1" applyBorder="1"/>
    <xf numFmtId="0" fontId="5" fillId="0" borderId="10" xfId="0" applyFont="1" applyBorder="1" applyAlignment="1">
      <alignment horizontal="centerContinuous"/>
    </xf>
    <xf numFmtId="0" fontId="5" fillId="0" borderId="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173" fontId="5" fillId="0" borderId="16" xfId="0" applyNumberFormat="1" applyFont="1" applyBorder="1" applyAlignment="1">
      <alignment horizontal="centerContinuous"/>
    </xf>
    <xf numFmtId="173" fontId="5" fillId="0" borderId="16" xfId="0" applyNumberFormat="1" applyFont="1" applyBorder="1"/>
    <xf numFmtId="2" fontId="5" fillId="0" borderId="16" xfId="0" applyNumberFormat="1" applyFont="1" applyBorder="1"/>
    <xf numFmtId="182" fontId="5" fillId="0" borderId="16" xfId="0" applyNumberFormat="1" applyFont="1" applyBorder="1"/>
    <xf numFmtId="182" fontId="5" fillId="0" borderId="16" xfId="0" applyNumberFormat="1" applyFont="1" applyBorder="1" applyAlignment="1">
      <alignment horizontal="centerContinuous"/>
    </xf>
    <xf numFmtId="0" fontId="5" fillId="0" borderId="14" xfId="0" applyFont="1" applyBorder="1" applyAlignment="1">
      <alignment horizontal="center"/>
    </xf>
    <xf numFmtId="174" fontId="5" fillId="0" borderId="16" xfId="0" applyNumberFormat="1" applyFont="1" applyBorder="1" applyAlignment="1">
      <alignment horizontal="center"/>
    </xf>
    <xf numFmtId="178" fontId="5" fillId="0" borderId="16" xfId="0" applyNumberFormat="1" applyFont="1" applyBorder="1"/>
    <xf numFmtId="0" fontId="5" fillId="0" borderId="8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173" fontId="5" fillId="0" borderId="17" xfId="0" applyNumberFormat="1" applyFont="1" applyBorder="1" applyAlignment="1">
      <alignment horizontal="centerContinuous"/>
    </xf>
    <xf numFmtId="173" fontId="5" fillId="0" borderId="17" xfId="0" applyNumberFormat="1" applyFont="1" applyBorder="1"/>
    <xf numFmtId="2" fontId="5" fillId="0" borderId="17" xfId="0" applyNumberFormat="1" applyFont="1" applyBorder="1"/>
    <xf numFmtId="182" fontId="5" fillId="0" borderId="17" xfId="0" applyNumberFormat="1" applyFont="1" applyBorder="1"/>
    <xf numFmtId="182" fontId="5" fillId="0" borderId="17" xfId="0" applyNumberFormat="1" applyFont="1" applyBorder="1" applyAlignment="1">
      <alignment horizontal="centerContinuous"/>
    </xf>
    <xf numFmtId="174" fontId="5" fillId="0" borderId="17" xfId="0" applyNumberFormat="1" applyFont="1" applyBorder="1" applyAlignment="1">
      <alignment horizontal="center"/>
    </xf>
    <xf numFmtId="178" fontId="5" fillId="0" borderId="17" xfId="0" applyNumberFormat="1" applyFont="1" applyBorder="1"/>
    <xf numFmtId="0" fontId="5" fillId="0" borderId="8" xfId="0" applyFont="1" applyBorder="1"/>
    <xf numFmtId="0" fontId="5" fillId="0" borderId="14" xfId="0" applyFont="1" applyBorder="1"/>
    <xf numFmtId="0" fontId="5" fillId="0" borderId="18" xfId="0" applyFont="1" applyBorder="1" applyAlignment="1">
      <alignment horizontal="center"/>
    </xf>
    <xf numFmtId="173" fontId="5" fillId="0" borderId="18" xfId="0" applyNumberFormat="1" applyFont="1" applyBorder="1" applyAlignment="1">
      <alignment horizontal="centerContinuous"/>
    </xf>
    <xf numFmtId="173" fontId="5" fillId="0" borderId="18" xfId="0" applyNumberFormat="1" applyFont="1" applyBorder="1"/>
    <xf numFmtId="2" fontId="5" fillId="0" borderId="18" xfId="0" applyNumberFormat="1" applyFont="1" applyBorder="1"/>
    <xf numFmtId="182" fontId="5" fillId="0" borderId="18" xfId="0" applyNumberFormat="1" applyFont="1" applyBorder="1"/>
    <xf numFmtId="182" fontId="5" fillId="0" borderId="18" xfId="0" applyNumberFormat="1" applyFont="1" applyBorder="1" applyAlignment="1">
      <alignment horizontal="centerContinuous"/>
    </xf>
    <xf numFmtId="0" fontId="5" fillId="0" borderId="15" xfId="0" applyFont="1" applyBorder="1"/>
    <xf numFmtId="174" fontId="5" fillId="0" borderId="18" xfId="0" applyNumberFormat="1" applyFont="1" applyBorder="1" applyAlignment="1">
      <alignment horizontal="center"/>
    </xf>
    <xf numFmtId="178" fontId="5" fillId="0" borderId="18" xfId="0" applyNumberFormat="1" applyFont="1" applyBorder="1"/>
    <xf numFmtId="0" fontId="5" fillId="0" borderId="24" xfId="0" applyFont="1" applyBorder="1"/>
    <xf numFmtId="0" fontId="5" fillId="0" borderId="2" xfId="0" applyFont="1" applyBorder="1"/>
    <xf numFmtId="0" fontId="5" fillId="0" borderId="3" xfId="0" applyFont="1" applyBorder="1" applyAlignment="1">
      <alignment horizontal="center"/>
    </xf>
    <xf numFmtId="167" fontId="5" fillId="0" borderId="10" xfId="0" applyNumberFormat="1" applyFont="1" applyBorder="1"/>
    <xf numFmtId="167" fontId="5" fillId="0" borderId="1" xfId="0" applyNumberFormat="1" applyFont="1" applyBorder="1" applyAlignment="1">
      <alignment horizontal="center"/>
    </xf>
    <xf numFmtId="172" fontId="5" fillId="0" borderId="16" xfId="0" applyNumberFormat="1" applyFont="1" applyBorder="1"/>
    <xf numFmtId="172" fontId="5" fillId="0" borderId="19" xfId="0" applyNumberFormat="1" applyFont="1" applyBorder="1"/>
    <xf numFmtId="182" fontId="5" fillId="0" borderId="16" xfId="0" applyNumberFormat="1" applyFont="1" applyBorder="1" applyAlignment="1">
      <alignment horizontal="right"/>
    </xf>
    <xf numFmtId="172" fontId="5" fillId="0" borderId="17" xfId="0" applyNumberFormat="1" applyFont="1" applyBorder="1"/>
    <xf numFmtId="172" fontId="5" fillId="0" borderId="20" xfId="0" applyNumberFormat="1" applyFont="1" applyBorder="1"/>
    <xf numFmtId="182" fontId="5" fillId="0" borderId="17" xfId="0" applyNumberFormat="1" applyFont="1" applyBorder="1" applyAlignment="1">
      <alignment horizontal="right"/>
    </xf>
    <xf numFmtId="0" fontId="5" fillId="0" borderId="12" xfId="0" applyFont="1" applyBorder="1"/>
    <xf numFmtId="172" fontId="5" fillId="0" borderId="18" xfId="0" applyNumberFormat="1" applyFont="1" applyBorder="1"/>
    <xf numFmtId="172" fontId="5" fillId="0" borderId="21" xfId="0" applyNumberFormat="1" applyFont="1" applyBorder="1"/>
    <xf numFmtId="182" fontId="5" fillId="0" borderId="18" xfId="0" applyNumberFormat="1" applyFont="1" applyBorder="1" applyAlignment="1">
      <alignment horizontal="right"/>
    </xf>
    <xf numFmtId="172" fontId="5" fillId="0" borderId="0" xfId="0" applyNumberFormat="1" applyFont="1"/>
    <xf numFmtId="174" fontId="5" fillId="0" borderId="0" xfId="0" applyNumberFormat="1" applyFont="1" applyAlignment="1">
      <alignment horizontal="center"/>
    </xf>
    <xf numFmtId="172" fontId="5" fillId="0" borderId="0" xfId="0" applyNumberFormat="1" applyFont="1" applyAlignment="1">
      <alignment horizontal="right"/>
    </xf>
    <xf numFmtId="0" fontId="5" fillId="0" borderId="6" xfId="0" applyFont="1" applyBorder="1" applyAlignment="1">
      <alignment horizontal="center"/>
    </xf>
    <xf numFmtId="167" fontId="5" fillId="0" borderId="0" xfId="0" applyNumberFormat="1" applyFont="1" applyAlignment="1">
      <alignment horizontal="center"/>
    </xf>
    <xf numFmtId="178" fontId="5" fillId="0" borderId="0" xfId="0" applyNumberFormat="1" applyFont="1"/>
    <xf numFmtId="179" fontId="5" fillId="0" borderId="46" xfId="1" applyNumberFormat="1" applyFont="1" applyBorder="1"/>
    <xf numFmtId="179" fontId="5" fillId="0" borderId="47" xfId="1" applyNumberFormat="1" applyFont="1" applyBorder="1"/>
    <xf numFmtId="179" fontId="5" fillId="0" borderId="48" xfId="1" applyNumberFormat="1" applyFont="1" applyBorder="1"/>
    <xf numFmtId="0" fontId="5" fillId="0" borderId="26" xfId="0" applyFont="1" applyBorder="1"/>
    <xf numFmtId="0" fontId="5" fillId="0" borderId="27" xfId="0" applyFont="1" applyBorder="1"/>
    <xf numFmtId="0" fontId="5" fillId="0" borderId="29" xfId="0" applyFont="1" applyBorder="1"/>
    <xf numFmtId="0" fontId="5" fillId="0" borderId="30" xfId="0" applyFont="1" applyBorder="1"/>
    <xf numFmtId="0" fontId="5" fillId="0" borderId="31" xfId="0" applyFont="1" applyBorder="1"/>
    <xf numFmtId="172" fontId="5" fillId="0" borderId="23" xfId="0" applyNumberFormat="1" applyFont="1" applyBorder="1"/>
    <xf numFmtId="172" fontId="5" fillId="0" borderId="28" xfId="0" applyNumberFormat="1" applyFont="1" applyBorder="1"/>
    <xf numFmtId="0" fontId="5" fillId="0" borderId="32" xfId="0" applyFont="1" applyBorder="1"/>
    <xf numFmtId="182" fontId="5" fillId="0" borderId="35" xfId="0" applyNumberFormat="1" applyFont="1" applyBorder="1"/>
    <xf numFmtId="182" fontId="5" fillId="0" borderId="36" xfId="0" applyNumberFormat="1" applyFont="1" applyBorder="1"/>
    <xf numFmtId="182" fontId="5" fillId="0" borderId="37" xfId="0" applyNumberFormat="1" applyFont="1" applyBorder="1"/>
    <xf numFmtId="172" fontId="5" fillId="0" borderId="35" xfId="0" applyNumberFormat="1" applyFont="1" applyBorder="1"/>
    <xf numFmtId="172" fontId="5" fillId="0" borderId="36" xfId="0" applyNumberFormat="1" applyFont="1" applyBorder="1"/>
    <xf numFmtId="172" fontId="5" fillId="0" borderId="37" xfId="0" applyNumberFormat="1" applyFont="1" applyBorder="1"/>
    <xf numFmtId="0" fontId="5" fillId="0" borderId="33" xfId="0" applyFont="1" applyBorder="1"/>
    <xf numFmtId="182" fontId="5" fillId="0" borderId="38" xfId="0" applyNumberFormat="1" applyFont="1" applyBorder="1"/>
    <xf numFmtId="182" fontId="5" fillId="0" borderId="10" xfId="0" applyNumberFormat="1" applyFont="1" applyBorder="1"/>
    <xf numFmtId="182" fontId="5" fillId="0" borderId="39" xfId="0" applyNumberFormat="1" applyFont="1" applyBorder="1"/>
    <xf numFmtId="172" fontId="5" fillId="0" borderId="38" xfId="0" applyNumberFormat="1" applyFont="1" applyBorder="1"/>
    <xf numFmtId="172" fontId="5" fillId="0" borderId="10" xfId="0" applyNumberFormat="1" applyFont="1" applyBorder="1"/>
    <xf numFmtId="172" fontId="5" fillId="0" borderId="39" xfId="0" applyNumberFormat="1" applyFont="1" applyBorder="1"/>
    <xf numFmtId="0" fontId="5" fillId="0" borderId="34" xfId="0" applyFont="1" applyBorder="1"/>
    <xf numFmtId="182" fontId="5" fillId="0" borderId="40" xfId="0" applyNumberFormat="1" applyFont="1" applyBorder="1"/>
    <xf numFmtId="182" fontId="5" fillId="0" borderId="41" xfId="0" applyNumberFormat="1" applyFont="1" applyBorder="1"/>
    <xf numFmtId="182" fontId="5" fillId="0" borderId="42" xfId="0" applyNumberFormat="1" applyFont="1" applyBorder="1"/>
    <xf numFmtId="172" fontId="5" fillId="0" borderId="40" xfId="0" applyNumberFormat="1" applyFont="1" applyBorder="1"/>
    <xf numFmtId="172" fontId="5" fillId="0" borderId="41" xfId="0" applyNumberFormat="1" applyFont="1" applyBorder="1"/>
    <xf numFmtId="172" fontId="5" fillId="0" borderId="42" xfId="0" applyNumberFormat="1" applyFont="1" applyBorder="1"/>
    <xf numFmtId="185" fontId="13" fillId="3" borderId="10" xfId="0" applyNumberFormat="1" applyFont="1" applyFill="1" applyBorder="1" applyAlignment="1">
      <alignment horizontal="right"/>
    </xf>
    <xf numFmtId="182" fontId="13" fillId="3" borderId="10" xfId="0" applyNumberFormat="1" applyFont="1" applyFill="1" applyBorder="1"/>
    <xf numFmtId="183" fontId="5" fillId="0" borderId="2" xfId="0" applyNumberFormat="1" applyFont="1" applyBorder="1" applyAlignment="1">
      <alignment horizontal="center"/>
    </xf>
    <xf numFmtId="183" fontId="5" fillId="0" borderId="1" xfId="0" applyNumberFormat="1" applyFont="1" applyBorder="1" applyAlignment="1">
      <alignment horizontal="center"/>
    </xf>
    <xf numFmtId="181" fontId="5" fillId="0" borderId="2" xfId="0" applyNumberFormat="1" applyFont="1" applyBorder="1" applyAlignment="1">
      <alignment horizontal="center"/>
    </xf>
    <xf numFmtId="181" fontId="5" fillId="0" borderId="1" xfId="0" applyNumberFormat="1" applyFont="1" applyBorder="1" applyAlignment="1">
      <alignment horizontal="center"/>
    </xf>
    <xf numFmtId="180" fontId="5" fillId="0" borderId="2" xfId="0" applyNumberFormat="1" applyFont="1" applyBorder="1" applyAlignment="1">
      <alignment horizontal="center"/>
    </xf>
    <xf numFmtId="180" fontId="5" fillId="0" borderId="1" xfId="0" applyNumberFormat="1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7" fontId="5" fillId="0" borderId="4" xfId="0" applyNumberFormat="1" applyFont="1" applyBorder="1" applyAlignment="1">
      <alignment horizontal="center"/>
    </xf>
    <xf numFmtId="167" fontId="5" fillId="0" borderId="24" xfId="0" applyNumberFormat="1" applyFont="1" applyBorder="1" applyAlignment="1">
      <alignment horizontal="center"/>
    </xf>
    <xf numFmtId="167" fontId="5" fillId="0" borderId="5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8" fillId="3" borderId="2" xfId="0" applyFont="1" applyFill="1" applyBorder="1" applyAlignment="1">
      <alignment horizontal="center" shrinkToFit="1"/>
    </xf>
    <xf numFmtId="0" fontId="8" fillId="3" borderId="1" xfId="0" applyFont="1" applyFill="1" applyBorder="1" applyAlignment="1">
      <alignment horizontal="center" shrinkToFit="1"/>
    </xf>
    <xf numFmtId="172" fontId="5" fillId="0" borderId="10" xfId="0" applyNumberFormat="1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167" fontId="5" fillId="0" borderId="3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167" fontId="5" fillId="0" borderId="0" xfId="0" applyNumberFormat="1" applyFont="1" applyAlignment="1">
      <alignment horizontal="center"/>
    </xf>
    <xf numFmtId="178" fontId="5" fillId="0" borderId="2" xfId="0" applyNumberFormat="1" applyFont="1" applyBorder="1" applyAlignment="1">
      <alignment horizontal="center"/>
    </xf>
    <xf numFmtId="178" fontId="5" fillId="0" borderId="1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 vertical="distributed"/>
    </xf>
    <xf numFmtId="0" fontId="10" fillId="0" borderId="1" xfId="0" applyFont="1" applyBorder="1" applyAlignment="1">
      <alignment horizontal="center" vertical="distributed"/>
    </xf>
    <xf numFmtId="0" fontId="5" fillId="0" borderId="10" xfId="0" applyFont="1" applyBorder="1" applyAlignment="1">
      <alignment horizontal="center"/>
    </xf>
    <xf numFmtId="0" fontId="5" fillId="0" borderId="7" xfId="0" applyFont="1" applyBorder="1" applyAlignment="1">
      <alignment horizontal="center" vertical="center" textRotation="90"/>
    </xf>
    <xf numFmtId="0" fontId="5" fillId="0" borderId="8" xfId="0" applyFont="1" applyBorder="1" applyAlignment="1">
      <alignment horizontal="center" vertical="center" textRotation="90"/>
    </xf>
    <xf numFmtId="0" fontId="5" fillId="0" borderId="6" xfId="0" applyFont="1" applyBorder="1" applyAlignment="1">
      <alignment horizontal="center" vertical="center" textRotation="90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7.xml"/><Relationship Id="rId13" Type="http://schemas.openxmlformats.org/officeDocument/2006/relationships/styles" Target="styles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6.xml"/><Relationship Id="rId12" Type="http://schemas.openxmlformats.org/officeDocument/2006/relationships/theme" Target="theme/theme1.xml"/><Relationship Id="rId2" Type="http://schemas.openxmlformats.org/officeDocument/2006/relationships/chartsheet" Target="chartsheets/sheet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worksheet" Target="worksheets/sheet2.xml"/><Relationship Id="rId5" Type="http://schemas.openxmlformats.org/officeDocument/2006/relationships/chartsheet" Target="chartsheets/sheet4.xml"/><Relationship Id="rId15" Type="http://schemas.openxmlformats.org/officeDocument/2006/relationships/calcChain" Target="calcChain.xml"/><Relationship Id="rId10" Type="http://schemas.openxmlformats.org/officeDocument/2006/relationships/chartsheet" Target="chartsheets/sheet9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altLang="ja-JP" sz="1400"/>
              <a:t>Comparison of Volumetric efficiency  wit measured  data and calculation</a:t>
            </a:r>
            <a:r>
              <a:rPr lang="ja-JP" altLang="en-US"/>
              <a:t>
</a:t>
            </a:r>
          </a:p>
        </c:rich>
      </c:tx>
      <c:layout>
        <c:manualLayout>
          <c:xMode val="edge"/>
          <c:yMode val="edge"/>
          <c:x val="0.16199397575419003"/>
          <c:y val="4.94280999768909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291666666666666E-2"/>
          <c:y val="0.14309764309764308"/>
          <c:w val="0.76701388888888888"/>
          <c:h val="0.74747474747474751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DATA!$D$72</c:f>
              <c:strCache>
                <c:ptCount val="1"/>
                <c:pt idx="0">
                  <c:v>37.8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DATA!$D$73:$D$87</c:f>
              <c:numCache>
                <c:formatCode>0.0000_ </c:formatCode>
                <c:ptCount val="15"/>
                <c:pt idx="0">
                  <c:v>0.75025112426646601</c:v>
                </c:pt>
                <c:pt idx="3">
                  <c:v>0.81948874395969551</c:v>
                </c:pt>
                <c:pt idx="6">
                  <c:v>0.85637336918624485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8-435E-B8BB-1E51C253C900}"/>
            </c:ext>
          </c:extLst>
        </c:ser>
        <c:ser>
          <c:idx val="1"/>
          <c:order val="1"/>
          <c:tx>
            <c:strRef>
              <c:f>DATA!$E$72</c:f>
              <c:strCache>
                <c:ptCount val="1"/>
                <c:pt idx="0">
                  <c:v>46.1</c:v>
                </c:pt>
              </c:strCache>
            </c:strRef>
          </c:tx>
          <c:spPr>
            <a:ln w="28575">
              <a:noFill/>
            </a:ln>
          </c:spPr>
          <c:trendline>
            <c:spPr>
              <a:ln w="12700">
                <a:solidFill>
                  <a:srgbClr val="FF00FF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DATA!$E$73:$E$87</c:f>
              <c:numCache>
                <c:formatCode>0.0000_ </c:formatCode>
                <c:ptCount val="15"/>
                <c:pt idx="1">
                  <c:v>0.71365351130151711</c:v>
                </c:pt>
                <c:pt idx="4">
                  <c:v>0.80309897187428991</c:v>
                </c:pt>
                <c:pt idx="7">
                  <c:v>0.83924590212101469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58-435E-B8BB-1E51C253C900}"/>
            </c:ext>
          </c:extLst>
        </c:ser>
        <c:ser>
          <c:idx val="2"/>
          <c:order val="2"/>
          <c:tx>
            <c:strRef>
              <c:f>DATA!$F$72</c:f>
              <c:strCache>
                <c:ptCount val="1"/>
                <c:pt idx="0">
                  <c:v>37.8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DATA!$F$73:$F$87</c:f>
              <c:numCache>
                <c:formatCode>0.0000_ </c:formatCode>
                <c:ptCount val="15"/>
                <c:pt idx="2">
                  <c:v>0.65875708653727427</c:v>
                </c:pt>
                <c:pt idx="5">
                  <c:v>0.77031942135395981</c:v>
                </c:pt>
                <c:pt idx="8">
                  <c:v>0.81184195242793622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58-435E-B8BB-1E51C253C900}"/>
            </c:ext>
          </c:extLst>
        </c:ser>
        <c:ser>
          <c:idx val="3"/>
          <c:order val="3"/>
          <c:tx>
            <c:strRef>
              <c:f>DATA!$G$72</c:f>
              <c:strCache>
                <c:ptCount val="1"/>
                <c:pt idx="0">
                  <c:v>46.1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00FF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DATA!$G$73:$G$87</c:f>
              <c:numCache>
                <c:formatCode>0.0000_ </c:formatCode>
                <c:ptCount val="15"/>
                <c:pt idx="0">
                  <c:v>0.75394297232697327</c:v>
                </c:pt>
                <c:pt idx="3">
                  <c:v>0.82047700684967217</c:v>
                </c:pt>
                <c:pt idx="6">
                  <c:v>0.85724104081623032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58-435E-B8BB-1E51C253C900}"/>
            </c:ext>
          </c:extLst>
        </c:ser>
        <c:ser>
          <c:idx val="4"/>
          <c:order val="4"/>
          <c:tx>
            <c:strRef>
              <c:f>DATA!$H$72</c:f>
              <c:strCache>
                <c:ptCount val="1"/>
                <c:pt idx="0">
                  <c:v>46.1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DATA!$H$73:$H$87</c:f>
              <c:numCache>
                <c:formatCode>0.0000_ </c:formatCode>
                <c:ptCount val="15"/>
                <c:pt idx="1">
                  <c:v>0.71172866867027018</c:v>
                </c:pt>
                <c:pt idx="4">
                  <c:v>0.79419261174080924</c:v>
                </c:pt>
                <c:pt idx="7">
                  <c:v>0.83975887306571528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58-435E-B8BB-1E51C253C900}"/>
            </c:ext>
          </c:extLst>
        </c:ser>
        <c:ser>
          <c:idx val="5"/>
          <c:order val="5"/>
          <c:tx>
            <c:strRef>
              <c:f>DATA!$I$72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DATA!$I$73:$I$87</c:f>
              <c:numCache>
                <c:formatCode>0.0000_ </c:formatCode>
                <c:ptCount val="15"/>
                <c:pt idx="2">
                  <c:v>0.66263564478245807</c:v>
                </c:pt>
                <c:pt idx="5">
                  <c:v>0.76362523705544705</c:v>
                </c:pt>
                <c:pt idx="8">
                  <c:v>0.81942802772082246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A58-435E-B8BB-1E51C253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5128"/>
        <c:axId val="298411992"/>
      </c:scatterChart>
      <c:valAx>
        <c:axId val="298415128"/>
        <c:scaling>
          <c:orientation val="minMax"/>
          <c:min val="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Compression rate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P</a:t>
                </a: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/P</a:t>
                </a: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e</a:t>
                </a:r>
                <a:endPara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</c:rich>
          </c:tx>
          <c:layout>
            <c:manualLayout>
              <c:xMode val="edge"/>
              <c:yMode val="edge"/>
              <c:x val="0.40104166666666669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1992"/>
        <c:crosses val="autoZero"/>
        <c:crossBetween val="midCat"/>
      </c:valAx>
      <c:valAx>
        <c:axId val="298411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Volumetric efficiency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ηv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3602693602693604"/>
            </c:manualLayout>
          </c:layout>
          <c:overlay val="0"/>
          <c:spPr>
            <a:noFill/>
            <a:ln w="25400">
              <a:noFill/>
            </a:ln>
          </c:spPr>
        </c:title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51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89201388888888888"/>
          <c:y val="0.15399257716950329"/>
          <c:w val="6.25E-2"/>
          <c:h val="0.4238664216228617"/>
        </c:manualLayout>
      </c:layout>
      <c:overlay val="0"/>
      <c:spPr>
        <a:solidFill>
          <a:srgbClr val="FFFFFF"/>
        </a:solidFill>
        <a:ln w="25400">
          <a:solidFill>
            <a:srgbClr val="FF00FF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altLang="ja-JP" sz="1400"/>
              <a:t>Cooling capacity</a:t>
            </a:r>
            <a:endParaRPr lang="ja-JP" altLang="en-US" sz="1400"/>
          </a:p>
        </c:rich>
      </c:tx>
      <c:layout>
        <c:manualLayout>
          <c:xMode val="edge"/>
          <c:yMode val="edge"/>
          <c:x val="0.40410891094447798"/>
          <c:y val="2.02020686928935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291666666666666E-2"/>
          <c:y val="0.12121212121212122"/>
          <c:w val="0.81354166666666672"/>
          <c:h val="0.7760942760942760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DATA!$C$104</c:f>
              <c:strCache>
                <c:ptCount val="1"/>
                <c:pt idx="0">
                  <c:v>37.8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70C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DATA!$C$105:$C$109</c:f>
              <c:numCache>
                <c:formatCode>0.00_ </c:formatCode>
                <c:ptCount val="5"/>
                <c:pt idx="0">
                  <c:v>70.901692777405742</c:v>
                </c:pt>
                <c:pt idx="1">
                  <c:v>129.21876574114629</c:v>
                </c:pt>
                <c:pt idx="2">
                  <c:v>215.32314711884123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4E-4EAE-B739-32505A9B936F}"/>
            </c:ext>
          </c:extLst>
        </c:ser>
        <c:ser>
          <c:idx val="1"/>
          <c:order val="1"/>
          <c:tx>
            <c:strRef>
              <c:f>DATA!$D$104</c:f>
              <c:strCache>
                <c:ptCount val="1"/>
                <c:pt idx="0">
                  <c:v>46.1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7030A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DATA!$D$105:$D$109</c:f>
              <c:numCache>
                <c:formatCode>0.00_ </c:formatCode>
                <c:ptCount val="5"/>
                <c:pt idx="0">
                  <c:v>66.931809512306984</c:v>
                </c:pt>
                <c:pt idx="1">
                  <c:v>125.07917734821743</c:v>
                </c:pt>
                <c:pt idx="2">
                  <c:v>210.93194884523064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4E-4EAE-B739-32505A9B936F}"/>
            </c:ext>
          </c:extLst>
        </c:ser>
        <c:ser>
          <c:idx val="2"/>
          <c:order val="2"/>
          <c:tx>
            <c:strRef>
              <c:f>DATA!$E$104</c:f>
              <c:strCache>
                <c:ptCount val="1"/>
                <c:pt idx="0">
                  <c:v>54.4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chemeClr val="accent6">
                    <a:lumMod val="75000"/>
                  </a:schemeClr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DATA!$E$105:$E$109</c:f>
              <c:numCache>
                <c:formatCode>0.00_ </c:formatCode>
                <c:ptCount val="5"/>
                <c:pt idx="0">
                  <c:v>62.315043224978375</c:v>
                </c:pt>
                <c:pt idx="1">
                  <c:v>120.2650528866975</c:v>
                </c:pt>
                <c:pt idx="2">
                  <c:v>205.8252152722784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4E-4EAE-B739-32505A9B936F}"/>
            </c:ext>
          </c:extLst>
        </c:ser>
        <c:ser>
          <c:idx val="3"/>
          <c:order val="3"/>
          <c:tx>
            <c:strRef>
              <c:f>DATA!$F$104</c:f>
              <c:strCache>
                <c:ptCount val="1"/>
                <c:pt idx="0">
                  <c:v>37.8 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DATA!$F$105:$F$109</c:f>
              <c:numCache>
                <c:formatCode>0.0_ </c:formatCode>
                <c:ptCount val="5"/>
                <c:pt idx="0">
                  <c:v>70.554507000000001</c:v>
                </c:pt>
                <c:pt idx="1">
                  <c:v>129.06312199999999</c:v>
                </c:pt>
                <c:pt idx="2">
                  <c:v>215.10520399999999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4E-4EAE-B739-32505A9B936F}"/>
            </c:ext>
          </c:extLst>
        </c:ser>
        <c:ser>
          <c:idx val="4"/>
          <c:order val="4"/>
          <c:tx>
            <c:strRef>
              <c:f>DATA!$G$104</c:f>
              <c:strCache>
                <c:ptCount val="1"/>
                <c:pt idx="0">
                  <c:v>46.1 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DATA!$G$105:$G$109</c:f>
              <c:numCache>
                <c:formatCode>0.0_ </c:formatCode>
                <c:ptCount val="5"/>
                <c:pt idx="0">
                  <c:v>67.112824000000003</c:v>
                </c:pt>
                <c:pt idx="1">
                  <c:v>126.48186</c:v>
                </c:pt>
                <c:pt idx="2">
                  <c:v>210.8031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94E-4EAE-B739-32505A9B936F}"/>
            </c:ext>
          </c:extLst>
        </c:ser>
        <c:ser>
          <c:idx val="5"/>
          <c:order val="5"/>
          <c:tx>
            <c:strRef>
              <c:f>DATA!$H$104</c:f>
              <c:strCache>
                <c:ptCount val="1"/>
                <c:pt idx="0">
                  <c:v>54.4 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DATA!$H$105:$H$109</c:f>
              <c:numCache>
                <c:formatCode>0.0_ </c:formatCode>
                <c:ptCount val="5"/>
                <c:pt idx="0">
                  <c:v>61.950299000000001</c:v>
                </c:pt>
                <c:pt idx="1">
                  <c:v>121.319335</c:v>
                </c:pt>
                <c:pt idx="2">
                  <c:v>203.91973300000001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4E-4EAE-B739-32505A9B9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2776"/>
        <c:axId val="298411600"/>
      </c:scatterChart>
      <c:valAx>
        <c:axId val="298412776"/>
        <c:scaling>
          <c:orientation val="minMax"/>
          <c:max val="-10"/>
          <c:min val="-3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/>
                  <a:t>Evaporating</a:t>
                </a:r>
                <a:r>
                  <a:rPr lang="en-US" altLang="ja-JP" baseline="0"/>
                  <a:t> Temp.</a:t>
                </a:r>
                <a:r>
                  <a:rPr lang="ja-JP" altLang="en-US"/>
                  <a:t>℃</a:t>
                </a:r>
              </a:p>
            </c:rich>
          </c:tx>
          <c:layout>
            <c:manualLayout>
              <c:xMode val="edge"/>
              <c:yMode val="edge"/>
              <c:x val="0.44479166666666664"/>
              <c:y val="0.9511784511784511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1600"/>
        <c:crosses val="autoZero"/>
        <c:crossBetween val="midCat"/>
        <c:majorUnit val="1"/>
      </c:valAx>
      <c:valAx>
        <c:axId val="298411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Cooling capacity</a:t>
                </a: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</a:t>
                </a:r>
                <a:r>
                  <a:rPr lang="en-US" alt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Kcal/h</a:t>
                </a:r>
                <a:endPara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</c:rich>
          </c:tx>
          <c:layout>
            <c:manualLayout>
              <c:xMode val="edge"/>
              <c:yMode val="edge"/>
              <c:x val="1.4583333333333334E-2"/>
              <c:y val="0.4377104377104377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2776"/>
        <c:crossesAt val="-30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91840277777777779"/>
          <c:y val="0.1061640719567758"/>
          <c:w val="4.9118110236220473E-2"/>
          <c:h val="0.215809786339598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 sz="1400"/>
              <a:t>INPUT</a:t>
            </a:r>
            <a:endParaRPr lang="ja-JP" altLang="en-US" sz="14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DATA!$L$104</c:f>
              <c:strCache>
                <c:ptCount val="1"/>
                <c:pt idx="0">
                  <c:v>40.5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70C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DATA!$L$105:$L$109</c:f>
              <c:numCache>
                <c:formatCode>0.0_ </c:formatCode>
                <c:ptCount val="5"/>
                <c:pt idx="0">
                  <c:v>48.708333333325022</c:v>
                </c:pt>
                <c:pt idx="1">
                  <c:v>52.583333333328426</c:v>
                </c:pt>
                <c:pt idx="2">
                  <c:v>65.691666666679779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CC-4DAC-8DD8-D193A6EE9E78}"/>
            </c:ext>
          </c:extLst>
        </c:ser>
        <c:ser>
          <c:idx val="1"/>
          <c:order val="1"/>
          <c:tx>
            <c:strRef>
              <c:f>DATA!$M$104</c:f>
              <c:strCache>
                <c:ptCount val="1"/>
                <c:pt idx="0">
                  <c:v>54.4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C0000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DATA!$M$105:$M$109</c:f>
              <c:numCache>
                <c:formatCode>0.0_ </c:formatCode>
                <c:ptCount val="5"/>
                <c:pt idx="0">
                  <c:v>57.666666666668227</c:v>
                </c:pt>
                <c:pt idx="1">
                  <c:v>93.666666666661683</c:v>
                </c:pt>
                <c:pt idx="2">
                  <c:v>138.90000000000327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CC-4DAC-8DD8-D193A6EE9E78}"/>
            </c:ext>
          </c:extLst>
        </c:ser>
        <c:ser>
          <c:idx val="2"/>
          <c:order val="2"/>
          <c:tx>
            <c:strRef>
              <c:f>DATA!$N$104</c:f>
              <c:strCache>
                <c:ptCount val="1"/>
                <c:pt idx="0">
                  <c:v>65.0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B05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DATA!$N$105:$N$109</c:f>
              <c:numCache>
                <c:formatCode>0.0_ </c:formatCode>
                <c:ptCount val="5"/>
                <c:pt idx="0">
                  <c:v>66.625000000011255</c:v>
                </c:pt>
                <c:pt idx="1">
                  <c:v>134.74999999999494</c:v>
                </c:pt>
                <c:pt idx="2">
                  <c:v>212.10833333332664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DCC-4DAC-8DD8-D193A6EE9E78}"/>
            </c:ext>
          </c:extLst>
        </c:ser>
        <c:ser>
          <c:idx val="3"/>
          <c:order val="3"/>
          <c:tx>
            <c:strRef>
              <c:f>DATA!$O$104</c:f>
              <c:strCache>
                <c:ptCount val="1"/>
                <c:pt idx="0">
                  <c:v>40.5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DATA!$O$105:$O$109</c:f>
              <c:numCache>
                <c:formatCode>0.00_ </c:formatCode>
                <c:ptCount val="5"/>
                <c:pt idx="0">
                  <c:v>49.7</c:v>
                </c:pt>
                <c:pt idx="1">
                  <c:v>67.599999999999994</c:v>
                </c:pt>
                <c:pt idx="2">
                  <c:v>86.2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DCC-4DAC-8DD8-D193A6EE9E78}"/>
            </c:ext>
          </c:extLst>
        </c:ser>
        <c:ser>
          <c:idx val="4"/>
          <c:order val="4"/>
          <c:tx>
            <c:strRef>
              <c:f>DATA!$P$104</c:f>
              <c:strCache>
                <c:ptCount val="1"/>
                <c:pt idx="0">
                  <c:v>54.4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DATA!$P$105:$P$109</c:f>
              <c:numCache>
                <c:formatCode>0.00_ </c:formatCode>
                <c:ptCount val="5"/>
                <c:pt idx="0">
                  <c:v>51.3</c:v>
                </c:pt>
                <c:pt idx="1">
                  <c:v>72.400000000000006</c:v>
                </c:pt>
                <c:pt idx="2">
                  <c:v>93.5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DCC-4DAC-8DD8-D193A6EE9E78}"/>
            </c:ext>
          </c:extLst>
        </c:ser>
        <c:ser>
          <c:idx val="5"/>
          <c:order val="5"/>
          <c:tx>
            <c:strRef>
              <c:f>DATA!$Q$104</c:f>
              <c:strCache>
                <c:ptCount val="1"/>
                <c:pt idx="0">
                  <c:v>65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DATA!$Q$105:$Q$109</c:f>
              <c:numCache>
                <c:formatCode>0.00_ </c:formatCode>
                <c:ptCount val="5"/>
                <c:pt idx="0">
                  <c:v>72</c:v>
                </c:pt>
                <c:pt idx="1">
                  <c:v>141</c:v>
                </c:pt>
                <c:pt idx="2">
                  <c:v>237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DCC-4DAC-8DD8-D193A6EE9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2384"/>
        <c:axId val="298413168"/>
      </c:scatterChart>
      <c:valAx>
        <c:axId val="298412384"/>
        <c:scaling>
          <c:orientation val="minMax"/>
          <c:max val="-10"/>
          <c:min val="-3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 sz="1400"/>
                  <a:t>Evaporating Temp.</a:t>
                </a:r>
                <a:r>
                  <a:rPr lang="ja-JP" altLang="en-US" sz="1400"/>
                  <a:t>　℃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8413168"/>
        <c:crosses val="autoZero"/>
        <c:crossBetween val="midCat"/>
        <c:majorUnit val="2"/>
      </c:valAx>
      <c:valAx>
        <c:axId val="298413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 sz="1400"/>
                  <a:t>INPUT</a:t>
                </a:r>
                <a:r>
                  <a:rPr lang="ja-JP" altLang="en-US" sz="1400"/>
                  <a:t>　Ｗ</a:t>
                </a:r>
              </a:p>
            </c:rich>
          </c:tx>
          <c:overlay val="0"/>
        </c:title>
        <c:numFmt formatCode="0_ 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8412384"/>
        <c:crossesAt val="-40"/>
        <c:crossBetween val="midCat"/>
      </c:valAx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93065446501057048"/>
          <c:y val="9.6681746130094448E-2"/>
          <c:w val="5.1308310571943898E-2"/>
          <c:h val="0.24358091619098093"/>
        </c:manualLayout>
      </c:layout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r>
              <a:rPr lang="ja-JP" altLang="en-US"/>
              <a:t>入力特性
</a:t>
            </a:r>
          </a:p>
        </c:rich>
      </c:tx>
      <c:layout>
        <c:manualLayout>
          <c:xMode val="edge"/>
          <c:yMode val="edge"/>
          <c:x val="0.46729857819905213"/>
          <c:y val="1.99386503067484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90995260663507"/>
          <c:y val="0.13803680981595093"/>
          <c:w val="0.75639810426540288"/>
          <c:h val="0.71012269938650308"/>
        </c:manualLayout>
      </c:layout>
      <c:lineChart>
        <c:grouping val="standard"/>
        <c:varyColors val="0"/>
        <c:ser>
          <c:idx val="0"/>
          <c:order val="0"/>
          <c:tx>
            <c:strRef>
              <c:f>DATA!$J$42</c:f>
              <c:strCache>
                <c:ptCount val="1"/>
                <c:pt idx="0">
                  <c:v>35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DATA!$J$43:$J$50</c:f>
              <c:numCache>
                <c:formatCode>0.00_ </c:formatCode>
                <c:ptCount val="8"/>
                <c:pt idx="0">
                  <c:v>43.398500576436064</c:v>
                </c:pt>
                <c:pt idx="1">
                  <c:v>41.82178204742258</c:v>
                </c:pt>
                <c:pt idx="2">
                  <c:v>40.544822737087657</c:v>
                </c:pt>
                <c:pt idx="3">
                  <c:v>39.567622645431356</c:v>
                </c:pt>
                <c:pt idx="4">
                  <c:v>38.89018177245373</c:v>
                </c:pt>
                <c:pt idx="5">
                  <c:v>38.512500118154662</c:v>
                </c:pt>
                <c:pt idx="6">
                  <c:v>38.434577682534211</c:v>
                </c:pt>
                <c:pt idx="7">
                  <c:v>38.656414465592412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B93-49CA-9718-9B235A94533F}"/>
            </c:ext>
          </c:extLst>
        </c:ser>
        <c:ser>
          <c:idx val="1"/>
          <c:order val="1"/>
          <c:tx>
            <c:strRef>
              <c:f>DATA!$K$42</c:f>
              <c:strCache>
                <c:ptCount val="1"/>
                <c:pt idx="0">
                  <c:v>40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DATA!$K$43:$K$50</c:f>
              <c:numCache>
                <c:formatCode>0.00_ </c:formatCode>
                <c:ptCount val="8"/>
                <c:pt idx="0">
                  <c:v>52.979391708536653</c:v>
                </c:pt>
                <c:pt idx="1">
                  <c:v>54.889593835117417</c:v>
                </c:pt>
                <c:pt idx="2">
                  <c:v>57.099555180376797</c:v>
                </c:pt>
                <c:pt idx="3">
                  <c:v>59.6092757443148</c:v>
                </c:pt>
                <c:pt idx="4">
                  <c:v>62.41875552693142</c:v>
                </c:pt>
                <c:pt idx="5">
                  <c:v>65.527994528226714</c:v>
                </c:pt>
                <c:pt idx="6">
                  <c:v>68.93699274820051</c:v>
                </c:pt>
                <c:pt idx="7">
                  <c:v>72.645750186852993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B93-49CA-9718-9B235A94533F}"/>
            </c:ext>
          </c:extLst>
        </c:ser>
        <c:ser>
          <c:idx val="2"/>
          <c:order val="2"/>
          <c:tx>
            <c:strRef>
              <c:f>DATA!$L$42</c:f>
              <c:strCache>
                <c:ptCount val="1"/>
                <c:pt idx="0">
                  <c:v>45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DATA!$L$43:$L$50</c:f>
              <c:numCache>
                <c:formatCode>0.00_ </c:formatCode>
                <c:ptCount val="8"/>
                <c:pt idx="0">
                  <c:v>62.560282840637299</c:v>
                </c:pt>
                <c:pt idx="1">
                  <c:v>67.95740562281236</c:v>
                </c:pt>
                <c:pt idx="2">
                  <c:v>73.65428762366605</c:v>
                </c:pt>
                <c:pt idx="3">
                  <c:v>79.650928843198301</c:v>
                </c:pt>
                <c:pt idx="4">
                  <c:v>85.947329281409225</c:v>
                </c:pt>
                <c:pt idx="5">
                  <c:v>92.543488938298765</c:v>
                </c:pt>
                <c:pt idx="6">
                  <c:v>99.439407813866808</c:v>
                </c:pt>
                <c:pt idx="7">
                  <c:v>106.6350859081136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B93-49CA-9718-9B235A94533F}"/>
            </c:ext>
          </c:extLst>
        </c:ser>
        <c:ser>
          <c:idx val="3"/>
          <c:order val="3"/>
          <c:tx>
            <c:strRef>
              <c:f>DATA!$M$42</c:f>
              <c:strCache>
                <c:ptCount val="1"/>
                <c:pt idx="0">
                  <c:v>50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DATA!$M$43:$M$50</c:f>
              <c:numCache>
                <c:formatCode>0.00_ </c:formatCode>
                <c:ptCount val="8"/>
                <c:pt idx="0">
                  <c:v>72.141173972737946</c:v>
                </c:pt>
                <c:pt idx="1">
                  <c:v>81.025217410507253</c:v>
                </c:pt>
                <c:pt idx="2">
                  <c:v>90.209020066955247</c:v>
                </c:pt>
                <c:pt idx="3">
                  <c:v>99.692581942081802</c:v>
                </c:pt>
                <c:pt idx="4">
                  <c:v>109.47590303588703</c:v>
                </c:pt>
                <c:pt idx="5">
                  <c:v>119.55898334837082</c:v>
                </c:pt>
                <c:pt idx="6">
                  <c:v>129.94182287953316</c:v>
                </c:pt>
                <c:pt idx="7">
                  <c:v>140.62442162937424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B93-49CA-9718-9B235A94533F}"/>
            </c:ext>
          </c:extLst>
        </c:ser>
        <c:ser>
          <c:idx val="4"/>
          <c:order val="4"/>
          <c:tx>
            <c:strRef>
              <c:f>DATA!$N$42</c:f>
              <c:strCache>
                <c:ptCount val="1"/>
                <c:pt idx="0">
                  <c:v>55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DATA!$N$43:$N$50</c:f>
              <c:numCache>
                <c:formatCode>0.00_ </c:formatCode>
                <c:ptCount val="8"/>
                <c:pt idx="0">
                  <c:v>81.722065104838478</c:v>
                </c:pt>
                <c:pt idx="1">
                  <c:v>94.093029198202089</c:v>
                </c:pt>
                <c:pt idx="2">
                  <c:v>106.76375251024433</c:v>
                </c:pt>
                <c:pt idx="3">
                  <c:v>119.73423504096519</c:v>
                </c:pt>
                <c:pt idx="4">
                  <c:v>133.00447679036466</c:v>
                </c:pt>
                <c:pt idx="5">
                  <c:v>146.57447775844275</c:v>
                </c:pt>
                <c:pt idx="6">
                  <c:v>160.44423794519935</c:v>
                </c:pt>
                <c:pt idx="7">
                  <c:v>174.61375735063473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1B93-49CA-9718-9B235A945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256856"/>
        <c:axId val="299255288"/>
      </c:lineChart>
      <c:catAx>
        <c:axId val="2992568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蒸発温度(℃）</a:t>
                </a:r>
              </a:p>
            </c:rich>
          </c:tx>
          <c:layout>
            <c:manualLayout>
              <c:xMode val="edge"/>
              <c:yMode val="edge"/>
              <c:x val="0.45592417061611373"/>
              <c:y val="0.8972392638036810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52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255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入力(W)</a:t>
                </a:r>
              </a:p>
            </c:rich>
          </c:tx>
          <c:layout>
            <c:manualLayout>
              <c:xMode val="edge"/>
              <c:yMode val="edge"/>
              <c:x val="4.1706161137440759E-2"/>
              <c:y val="0.44631901840490795"/>
            </c:manualLayout>
          </c:layout>
          <c:overlay val="0"/>
          <c:spPr>
            <a:noFill/>
            <a:ln w="25400">
              <a:noFill/>
            </a:ln>
          </c:spPr>
        </c:title>
        <c:numFmt formatCode="0.0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68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00473933649284"/>
          <c:y val="0.14723926380368099"/>
          <c:w val="5.308056872037914E-2"/>
          <c:h val="0.154907975460122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明朝"/>
              <a:ea typeface="明朝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r>
              <a:rPr lang="ja-JP" altLang="en-US"/>
              <a:t>冷凍能力　（ コンプ測定条件）
</a:t>
            </a:r>
          </a:p>
        </c:rich>
      </c:tx>
      <c:layout>
        <c:manualLayout>
          <c:xMode val="edge"/>
          <c:yMode val="edge"/>
          <c:x val="0.37931034482758619"/>
          <c:y val="2.19435736677115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35960591133005"/>
          <c:y val="0.10344827586206896"/>
          <c:w val="0.77832512315270941"/>
          <c:h val="0.74137931034482762"/>
        </c:manualLayout>
      </c:layout>
      <c:lineChart>
        <c:grouping val="standard"/>
        <c:varyColors val="0"/>
        <c:ser>
          <c:idx val="0"/>
          <c:order val="0"/>
          <c:tx>
            <c:strRef>
              <c:f>DATA!$C$42</c:f>
              <c:strCache>
                <c:ptCount val="1"/>
                <c:pt idx="0">
                  <c:v>35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DATA!$C$43:$C$50</c:f>
              <c:numCache>
                <c:formatCode>0.0_);[Red]\(0.0\)</c:formatCode>
                <c:ptCount val="8"/>
                <c:pt idx="0">
                  <c:v>82.749963488952218</c:v>
                </c:pt>
                <c:pt idx="1">
                  <c:v>92.402682563270744</c:v>
                </c:pt>
                <c:pt idx="2">
                  <c:v>102.8091852940007</c:v>
                </c:pt>
                <c:pt idx="3">
                  <c:v>114.01135320433427</c:v>
                </c:pt>
                <c:pt idx="4">
                  <c:v>126.05240486262706</c:v>
                </c:pt>
                <c:pt idx="5">
                  <c:v>138.97692252807428</c:v>
                </c:pt>
                <c:pt idx="6">
                  <c:v>152.83088523828675</c:v>
                </c:pt>
                <c:pt idx="7">
                  <c:v>167.66170950318332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65F-42B1-9332-AFF559841BE2}"/>
            </c:ext>
          </c:extLst>
        </c:ser>
        <c:ser>
          <c:idx val="1"/>
          <c:order val="1"/>
          <c:tx>
            <c:strRef>
              <c:f>DATA!$D$42</c:f>
              <c:strCache>
                <c:ptCount val="1"/>
                <c:pt idx="0">
                  <c:v>40 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DATA!$D$43:$D$50</c:f>
              <c:numCache>
                <c:formatCode>0.0_);[Red]\(0.0\)</c:formatCode>
                <c:ptCount val="8"/>
                <c:pt idx="0">
                  <c:v>80.537547027326227</c:v>
                </c:pt>
                <c:pt idx="1">
                  <c:v>90.174758511704766</c:v>
                </c:pt>
                <c:pt idx="2">
                  <c:v>100.56453300625279</c:v>
                </c:pt>
                <c:pt idx="3">
                  <c:v>111.74868247001977</c:v>
                </c:pt>
                <c:pt idx="4">
                  <c:v>123.77035341143949</c:v>
                </c:pt>
                <c:pt idx="5">
                  <c:v>136.67405345173714</c:v>
                </c:pt>
                <c:pt idx="6">
                  <c:v>150.50568431645081</c:v>
                </c:pt>
                <c:pt idx="7">
                  <c:v>165.31258241735381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F-42B1-9332-AFF559841BE2}"/>
            </c:ext>
          </c:extLst>
        </c:ser>
        <c:ser>
          <c:idx val="2"/>
          <c:order val="2"/>
          <c:tx>
            <c:strRef>
              <c:f>DATA!$E$42</c:f>
              <c:strCache>
                <c:ptCount val="1"/>
                <c:pt idx="0">
                  <c:v>45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DATA!$E$43:$E$50</c:f>
              <c:numCache>
                <c:formatCode>0.0_);[Red]\(0.0\)</c:formatCode>
                <c:ptCount val="8"/>
                <c:pt idx="0">
                  <c:v>78.10332623032329</c:v>
                </c:pt>
                <c:pt idx="1">
                  <c:v>87.723475421685023</c:v>
                </c:pt>
                <c:pt idx="2">
                  <c:v>98.094844601900348</c:v>
                </c:pt>
                <c:pt idx="3">
                  <c:v>109.25916919176912</c:v>
                </c:pt>
                <c:pt idx="4">
                  <c:v>121.25951641548403</c:v>
                </c:pt>
                <c:pt idx="5">
                  <c:v>134.1403117735203</c:v>
                </c:pt>
                <c:pt idx="6">
                  <c:v>147.94737192847313</c:v>
                </c:pt>
                <c:pt idx="7">
                  <c:v>162.72794516378423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65F-42B1-9332-AFF559841BE2}"/>
            </c:ext>
          </c:extLst>
        </c:ser>
        <c:ser>
          <c:idx val="3"/>
          <c:order val="3"/>
          <c:tx>
            <c:strRef>
              <c:f>DATA!$F$42</c:f>
              <c:strCache>
                <c:ptCount val="1"/>
                <c:pt idx="0">
                  <c:v>50 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DATA!$F$43:$F$50</c:f>
              <c:numCache>
                <c:formatCode>0.0_);[Red]\(0.0\)</c:formatCode>
                <c:ptCount val="8"/>
                <c:pt idx="0">
                  <c:v>75.43518732930734</c:v>
                </c:pt>
                <c:pt idx="1">
                  <c:v>85.036634614993702</c:v>
                </c:pt>
                <c:pt idx="2">
                  <c:v>95.387829809670379</c:v>
                </c:pt>
                <c:pt idx="3">
                  <c:v>106.53042444089253</c:v>
                </c:pt>
                <c:pt idx="4">
                  <c:v>118.50739882973866</c:v>
                </c:pt>
                <c:pt idx="5">
                  <c:v>131.36308846448469</c:v>
                </c:pt>
                <c:pt idx="6">
                  <c:v>145.14321677060147</c:v>
                </c:pt>
                <c:pt idx="7">
                  <c:v>159.89493543444718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65F-42B1-9332-AFF559841BE2}"/>
            </c:ext>
          </c:extLst>
        </c:ser>
        <c:ser>
          <c:idx val="4"/>
          <c:order val="4"/>
          <c:tx>
            <c:strRef>
              <c:f>DATA!$G$42</c:f>
              <c:strCache>
                <c:ptCount val="1"/>
                <c:pt idx="0">
                  <c:v>55 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DATA!$G$43:$G$50</c:f>
              <c:numCache>
                <c:formatCode>0.0_);[Red]\(0.0\)</c:formatCode>
                <c:ptCount val="8"/>
                <c:pt idx="0">
                  <c:v>72.521028246424564</c:v>
                </c:pt>
                <c:pt idx="1">
                  <c:v>82.102049186139837</c:v>
                </c:pt>
                <c:pt idx="2">
                  <c:v>92.431210219411724</c:v>
                </c:pt>
                <c:pt idx="3">
                  <c:v>103.55007124503463</c:v>
                </c:pt>
                <c:pt idx="4">
                  <c:v>115.50151766792681</c:v>
                </c:pt>
                <c:pt idx="5">
                  <c:v>128.32978666444038</c:v>
                </c:pt>
                <c:pt idx="6">
                  <c:v>142.08049982583788</c:v>
                </c:pt>
                <c:pt idx="7">
                  <c:v>156.80070333449942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65F-42B1-9332-AFF559841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254112"/>
        <c:axId val="299254896"/>
      </c:lineChart>
      <c:catAx>
        <c:axId val="2992541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蒸発温度(℃)</a:t>
                </a:r>
              </a:p>
            </c:rich>
          </c:tx>
          <c:layout>
            <c:manualLayout>
              <c:xMode val="edge"/>
              <c:yMode val="edge"/>
              <c:x val="0.44926108374384238"/>
              <c:y val="0.894984326018808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48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254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  冷凍能力（kcal/h)</a:t>
                </a:r>
              </a:p>
            </c:rich>
          </c:tx>
          <c:layout>
            <c:manualLayout>
              <c:xMode val="edge"/>
              <c:yMode val="edge"/>
              <c:x val="3.5467980295566505E-2"/>
              <c:y val="0.35423197492163011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411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87027914614122"/>
          <c:y val="0.12852664576802508"/>
          <c:w val="6.3054187192118194E-2"/>
          <c:h val="0.158307210031347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明朝"/>
              <a:ea typeface="明朝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100" b="1" i="0" u="sng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コンプ定格冷条件に対する　COP</a:t>
            </a:r>
          </a:p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 altLang="en-US" sz="1100" b="1" i="0" u="sng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c:rich>
      </c:tx>
      <c:layout>
        <c:manualLayout>
          <c:xMode val="edge"/>
          <c:yMode val="edge"/>
          <c:x val="0.38020833333333331"/>
          <c:y val="2.02020202020202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958333333333334E-2"/>
          <c:y val="0.14309764309764308"/>
          <c:w val="0.82708333333333328"/>
          <c:h val="0.747474747474747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DATA!$Q$42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DATA!$Q$43:$Q$50</c:f>
              <c:numCache>
                <c:formatCode>0.000_ </c:formatCode>
                <c:ptCount val="8"/>
                <c:pt idx="0">
                  <c:v>2.2171477470375125</c:v>
                </c:pt>
                <c:pt idx="1">
                  <c:v>2.5691152902786243</c:v>
                </c:pt>
                <c:pt idx="2">
                  <c:v>2.9484791454273016</c:v>
                </c:pt>
                <c:pt idx="3">
                  <c:v>3.3505005373523411</c:v>
                </c:pt>
                <c:pt idx="4">
                  <c:v>3.7688834845603902</c:v>
                </c:pt>
                <c:pt idx="5">
                  <c:v>4.1960680872775882</c:v>
                </c:pt>
                <c:pt idx="6">
                  <c:v>4.6237097527204831</c:v>
                </c:pt>
                <c:pt idx="7">
                  <c:v>5.0432891633035348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C9-4626-96C4-4194AF8258E9}"/>
            </c:ext>
          </c:extLst>
        </c:ser>
        <c:ser>
          <c:idx val="1"/>
          <c:order val="1"/>
          <c:tx>
            <c:strRef>
              <c:f>DATA!$R$42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DATA!$R$43:$R$50</c:f>
              <c:numCache>
                <c:formatCode>0.000_ </c:formatCode>
                <c:ptCount val="8"/>
                <c:pt idx="0">
                  <c:v>1.7676365748420111</c:v>
                </c:pt>
                <c:pt idx="1">
                  <c:v>1.9102777600690386</c:v>
                </c:pt>
                <c:pt idx="2">
                  <c:v>2.0479231953076509</c:v>
                </c:pt>
                <c:pt idx="3">
                  <c:v>2.1798675932730878</c:v>
                </c:pt>
                <c:pt idx="4">
                  <c:v>2.3057014575146613</c:v>
                </c:pt>
                <c:pt idx="5">
                  <c:v>2.4252736423770562</c:v>
                </c:pt>
                <c:pt idx="6">
                  <c:v>2.5386458372143004</c:v>
                </c:pt>
                <c:pt idx="7">
                  <c:v>2.6460451237548406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C9-4626-96C4-4194AF8258E9}"/>
            </c:ext>
          </c:extLst>
        </c:ser>
        <c:ser>
          <c:idx val="2"/>
          <c:order val="2"/>
          <c:tx>
            <c:strRef>
              <c:f>DATA!$S$42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DATA!$S$43:$S$50</c:f>
              <c:numCache>
                <c:formatCode>0.000_ </c:formatCode>
                <c:ptCount val="8"/>
                <c:pt idx="0">
                  <c:v>1.45168495208685</c:v>
                </c:pt>
                <c:pt idx="1">
                  <c:v>1.5009996372457823</c:v>
                </c:pt>
                <c:pt idx="2">
                  <c:v>1.5486372412657379</c:v>
                </c:pt>
                <c:pt idx="3">
                  <c:v>1.5950290526043684</c:v>
                </c:pt>
                <c:pt idx="4">
                  <c:v>1.6405330901064086</c:v>
                </c:pt>
                <c:pt idx="5">
                  <c:v>1.6854465776343255</c:v>
                </c:pt>
                <c:pt idx="6">
                  <c:v>1.7300166162073238</c:v>
                </c:pt>
                <c:pt idx="7">
                  <c:v>1.7744491813057566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C9-4626-96C4-4194AF8258E9}"/>
            </c:ext>
          </c:extLst>
        </c:ser>
        <c:ser>
          <c:idx val="3"/>
          <c:order val="3"/>
          <c:tx>
            <c:strRef>
              <c:f>DATA!$T$42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DATA!$T$43:$T$50</c:f>
              <c:numCache>
                <c:formatCode>0.000_ </c:formatCode>
                <c:ptCount val="8"/>
                <c:pt idx="0">
                  <c:v>1.2158844841781096</c:v>
                </c:pt>
                <c:pt idx="1">
                  <c:v>1.2203584371873653</c:v>
                </c:pt>
                <c:pt idx="2">
                  <c:v>1.229545350251126</c:v>
                </c:pt>
                <c:pt idx="3">
                  <c:v>1.2425456753757602</c:v>
                </c:pt>
                <c:pt idx="4">
                  <c:v>1.2587181027375562</c:v>
                </c:pt>
                <c:pt idx="5">
                  <c:v>1.2775934773483999</c:v>
                </c:pt>
                <c:pt idx="6">
                  <c:v>1.2988211074109828</c:v>
                </c:pt>
                <c:pt idx="7">
                  <c:v>1.3221341028405713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C9-4626-96C4-4194AF8258E9}"/>
            </c:ext>
          </c:extLst>
        </c:ser>
        <c:ser>
          <c:idx val="4"/>
          <c:order val="4"/>
          <c:tx>
            <c:strRef>
              <c:f>DATA!$U$42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DATA!$U$43:$U$50</c:f>
              <c:numCache>
                <c:formatCode>0.000_ </c:formatCode>
                <c:ptCount val="8"/>
                <c:pt idx="0">
                  <c:v>1.0318728108809567</c:v>
                </c:pt>
                <c:pt idx="1">
                  <c:v>1.0146075630379976</c:v>
                </c:pt>
                <c:pt idx="2">
                  <c:v>1.0066913993830231</c:v>
                </c:pt>
                <c:pt idx="3">
                  <c:v>1.0056193163638969</c:v>
                </c:pt>
                <c:pt idx="4">
                  <c:v>1.0097712013350235</c:v>
                </c:pt>
                <c:pt idx="5">
                  <c:v>1.0180536506080695</c:v>
                </c:pt>
                <c:pt idx="6">
                  <c:v>1.0297028153472518</c:v>
                </c:pt>
                <c:pt idx="7">
                  <c:v>1.0441697263294092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DC9-4626-96C4-4194AF825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0440"/>
        <c:axId val="299392008"/>
      </c:scatterChart>
      <c:valAx>
        <c:axId val="299390440"/>
        <c:scaling>
          <c:orientation val="minMax"/>
          <c:max val="-18"/>
          <c:min val="-3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蒸発温度　℃</a:t>
                </a:r>
              </a:p>
            </c:rich>
          </c:tx>
          <c:layout>
            <c:manualLayout>
              <c:xMode val="edge"/>
              <c:yMode val="edge"/>
              <c:x val="0.44166666666666665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2008"/>
        <c:crossesAt val="-32"/>
        <c:crossBetween val="midCat"/>
        <c:majorUnit val="2"/>
        <c:minorUnit val="0.5"/>
      </c:valAx>
      <c:valAx>
        <c:axId val="299392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/>
                  <a:t>COP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8821548821548821"/>
            </c:manualLayout>
          </c:layout>
          <c:overlay val="0"/>
          <c:spPr>
            <a:noFill/>
            <a:ln w="25400">
              <a:noFill/>
            </a:ln>
          </c:spPr>
        </c:title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0440"/>
        <c:crossesAt val="-32"/>
        <c:crossBetween val="midCat"/>
        <c:majorUnit val="0.2"/>
        <c:min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666666666666663"/>
          <c:y val="0.16737675555818332"/>
          <c:w val="6.6666666666666652E-2"/>
          <c:h val="0.170033670033669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+mn-ea"/>
                <a:ea typeface="+mn-ea"/>
                <a:cs typeface="明朝"/>
              </a:defRPr>
            </a:pPr>
            <a:r>
              <a:rPr lang="ja-JP" altLang="en-US" sz="1400">
                <a:latin typeface="+mn-ea"/>
                <a:ea typeface="+mn-ea"/>
              </a:rPr>
              <a:t>冷蔵庫条件　冷凍能力</a:t>
            </a:r>
            <a:r>
              <a:rPr lang="ja-JP" altLang="en-US">
                <a:latin typeface="+mn-ea"/>
                <a:ea typeface="+mn-ea"/>
              </a:rPr>
              <a:t>
 </a:t>
            </a:r>
          </a:p>
        </c:rich>
      </c:tx>
      <c:layout>
        <c:manualLayout>
          <c:xMode val="edge"/>
          <c:yMode val="edge"/>
          <c:x val="0.43229166666666669"/>
          <c:y val="5.22273425499231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16666666666667"/>
          <c:y val="0.11827956989247312"/>
          <c:w val="0.77187499999999998"/>
          <c:h val="0.77265745007680486"/>
        </c:manualLayout>
      </c:layout>
      <c:lineChart>
        <c:grouping val="standard"/>
        <c:varyColors val="0"/>
        <c:ser>
          <c:idx val="0"/>
          <c:order val="0"/>
          <c:tx>
            <c:strRef>
              <c:f>DATA!$C$59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DATA!$C$60:$C$67</c:f>
              <c:numCache>
                <c:formatCode>0.0_ </c:formatCode>
                <c:ptCount val="8"/>
                <c:pt idx="0">
                  <c:v>62.476263413475145</c:v>
                </c:pt>
                <c:pt idx="1">
                  <c:v>70.522730541379474</c:v>
                </c:pt>
                <c:pt idx="2">
                  <c:v>79.31518254647267</c:v>
                </c:pt>
                <c:pt idx="3">
                  <c:v>88.906902477565538</c:v>
                </c:pt>
                <c:pt idx="4">
                  <c:v>99.353952472805332</c:v>
                </c:pt>
                <c:pt idx="5">
                  <c:v>110.71529101056518</c:v>
                </c:pt>
                <c:pt idx="6">
                  <c:v>123.05290047470842</c:v>
                </c:pt>
                <c:pt idx="7">
                  <c:v>136.4319267039476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E86-42DD-925F-564CF3F84778}"/>
            </c:ext>
          </c:extLst>
        </c:ser>
        <c:ser>
          <c:idx val="1"/>
          <c:order val="1"/>
          <c:tx>
            <c:strRef>
              <c:f>DATA!$D$59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DATA!$D$60:$D$67</c:f>
              <c:numCache>
                <c:formatCode>0.0_ </c:formatCode>
                <c:ptCount val="8"/>
                <c:pt idx="0">
                  <c:v>57.767940874796238</c:v>
                </c:pt>
                <c:pt idx="1">
                  <c:v>65.419405736560819</c:v>
                </c:pt>
                <c:pt idx="2">
                  <c:v>73.786671569777013</c:v>
                </c:pt>
                <c:pt idx="3">
                  <c:v>82.921264724809134</c:v>
                </c:pt>
                <c:pt idx="4">
                  <c:v>92.877422319461644</c:v>
                </c:pt>
                <c:pt idx="5">
                  <c:v>103.7122067917462</c:v>
                </c:pt>
                <c:pt idx="6">
                  <c:v>115.4856303758213</c:v>
                </c:pt>
                <c:pt idx="7">
                  <c:v>128.26079111406074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E86-42DD-925F-564CF3F84778}"/>
            </c:ext>
          </c:extLst>
        </c:ser>
        <c:ser>
          <c:idx val="2"/>
          <c:order val="2"/>
          <c:tx>
            <c:strRef>
              <c:f>DATA!$E$59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DATA!$E$60:$E$67</c:f>
              <c:numCache>
                <c:formatCode>0.0_ </c:formatCode>
                <c:ptCount val="8"/>
                <c:pt idx="0">
                  <c:v>53.028234897389858</c:v>
                </c:pt>
                <c:pt idx="1">
                  <c:v>60.277175752878257</c:v>
                </c:pt>
                <c:pt idx="2">
                  <c:v>68.211244481622018</c:v>
                </c:pt>
                <c:pt idx="3">
                  <c:v>76.880181316893172</c:v>
                </c:pt>
                <c:pt idx="4">
                  <c:v>86.336367677556197</c:v>
                </c:pt>
                <c:pt idx="5">
                  <c:v>96.6349379708345</c:v>
                </c:pt>
                <c:pt idx="6">
                  <c:v>107.83390092056119</c:v>
                </c:pt>
                <c:pt idx="7">
                  <c:v>119.99427197614187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E86-42DD-925F-564CF3F84778}"/>
            </c:ext>
          </c:extLst>
        </c:ser>
        <c:ser>
          <c:idx val="3"/>
          <c:order val="3"/>
          <c:tx>
            <c:strRef>
              <c:f>DATA!$F$59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DATA!$F$60:$F$67</c:f>
              <c:numCache>
                <c:formatCode>0.0_ </c:formatCode>
                <c:ptCount val="8"/>
                <c:pt idx="0">
                  <c:v>48.277263211955741</c:v>
                </c:pt>
                <c:pt idx="1">
                  <c:v>55.115961510221574</c:v>
                </c:pt>
                <c:pt idx="2">
                  <c:v>62.608615677281094</c:v>
                </c:pt>
                <c:pt idx="3">
                  <c:v>70.803149801609962</c:v>
                </c:pt>
                <c:pt idx="4">
                  <c:v>79.750058286859314</c:v>
                </c:pt>
                <c:pt idx="5">
                  <c:v>89.502514851700084</c:v>
                </c:pt>
                <c:pt idx="6">
                  <c:v>100.11649065086745</c:v>
                </c:pt>
                <c:pt idx="7">
                  <c:v>111.65088301392503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E86-42DD-925F-564CF3F84778}"/>
            </c:ext>
          </c:extLst>
        </c:ser>
        <c:ser>
          <c:idx val="4"/>
          <c:order val="4"/>
          <c:tx>
            <c:strRef>
              <c:f>DATA!$G$59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DATA!$G$60:$G$67</c:f>
              <c:numCache>
                <c:formatCode>0.0_ </c:formatCode>
                <c:ptCount val="8"/>
                <c:pt idx="0">
                  <c:v>43.538198966605357</c:v>
                </c:pt>
                <c:pt idx="1">
                  <c:v>49.958762191997046</c:v>
                </c:pt>
                <c:pt idx="2">
                  <c:v>57.001602474535694</c:v>
                </c:pt>
                <c:pt idx="3">
                  <c:v>64.712797228121516</c:v>
                </c:pt>
                <c:pt idx="4">
                  <c:v>73.140921998628045</c:v>
                </c:pt>
                <c:pt idx="5">
                  <c:v>82.337156607060649</c:v>
                </c:pt>
                <c:pt idx="6">
                  <c:v>92.355400002957097</c:v>
                </c:pt>
                <c:pt idx="7">
                  <c:v>103.25239526484405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E86-42DD-925F-564CF3F84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389264"/>
        <c:axId val="299388872"/>
      </c:lineChart>
      <c:catAx>
        <c:axId val="2993892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+mn-ea"/>
                    <a:ea typeface="+mn-ea"/>
                  </a:rPr>
                  <a:t>蒸発温度(℃)</a:t>
                </a:r>
              </a:p>
            </c:rich>
          </c:tx>
          <c:layout>
            <c:manualLayout>
              <c:xMode val="edge"/>
              <c:yMode val="edge"/>
              <c:x val="0.4375"/>
              <c:y val="0.940092165898617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3888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388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+mn-ea"/>
                    <a:ea typeface="+mn-ea"/>
                  </a:rPr>
                  <a:t>冷凍能力(kcal/h</a:t>
                </a: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0.37788018433179721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3892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86746089621216"/>
          <c:y val="0.13568868407578086"/>
          <c:w val="9.9991314821339328E-2"/>
          <c:h val="0.155145929339477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0" b="0" i="0" u="none" strike="noStrike" baseline="0">
              <a:solidFill>
                <a:srgbClr val="000000"/>
              </a:solidFill>
              <a:latin typeface="+mn-ea"/>
              <a:ea typeface="+mn-ea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4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冷蔵庫条件　COP</a:t>
            </a:r>
          </a:p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 altLang="en-US" sz="1100" b="0" i="0" u="sng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c:rich>
      </c:tx>
      <c:layout>
        <c:manualLayout>
          <c:xMode val="edge"/>
          <c:yMode val="edge"/>
          <c:x val="0.37187500000000001"/>
          <c:y val="4.377104377104377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958333333333334E-2"/>
          <c:y val="0.11279461279461279"/>
          <c:w val="0.82708333333333328"/>
          <c:h val="0.777777777777777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DATA!$Q$59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DATA!$Q$60:$Q$67</c:f>
              <c:numCache>
                <c:formatCode>0.000_ </c:formatCode>
                <c:ptCount val="8"/>
                <c:pt idx="0">
                  <c:v>1.6739476469859955</c:v>
                </c:pt>
                <c:pt idx="1">
                  <c:v>1.9607766822353621</c:v>
                </c:pt>
                <c:pt idx="2">
                  <c:v>2.2746913224268175</c:v>
                </c:pt>
                <c:pt idx="3">
                  <c:v>2.6127452762668475</c:v>
                </c:pt>
                <c:pt idx="4">
                  <c:v>2.970617427002971</c:v>
                </c:pt>
                <c:pt idx="5">
                  <c:v>3.3427772822443793</c:v>
                </c:pt>
                <c:pt idx="6">
                  <c:v>3.7228135866540013</c:v>
                </c:pt>
                <c:pt idx="7">
                  <c:v>4.1038926509429219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04-49A2-89C4-4D7D0061CBC2}"/>
            </c:ext>
          </c:extLst>
        </c:ser>
        <c:ser>
          <c:idx val="1"/>
          <c:order val="1"/>
          <c:tx>
            <c:strRef>
              <c:f>DATA!$R$59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DATA!$R$60:$R$67</c:f>
              <c:numCache>
                <c:formatCode>0.000_ </c:formatCode>
                <c:ptCount val="8"/>
                <c:pt idx="0">
                  <c:v>1.2678896851546022</c:v>
                </c:pt>
                <c:pt idx="1">
                  <c:v>1.3858560634710642</c:v>
                </c:pt>
                <c:pt idx="2">
                  <c:v>1.5026116235521965</c:v>
                </c:pt>
                <c:pt idx="3">
                  <c:v>1.6175347554126589</c:v>
                </c:pt>
                <c:pt idx="4">
                  <c:v>1.7302011516466658</c:v>
                </c:pt>
                <c:pt idx="5">
                  <c:v>1.8403674667745342</c:v>
                </c:pt>
                <c:pt idx="6">
                  <c:v>1.947947123347306</c:v>
                </c:pt>
                <c:pt idx="7">
                  <c:v>2.0529825130883173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04-49A2-89C4-4D7D0061CBC2}"/>
            </c:ext>
          </c:extLst>
        </c:ser>
        <c:ser>
          <c:idx val="2"/>
          <c:order val="2"/>
          <c:tx>
            <c:strRef>
              <c:f>DATA!$S$59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DATA!$S$60:$S$67</c:f>
              <c:numCache>
                <c:formatCode>0.000_ </c:formatCode>
                <c:ptCount val="8"/>
                <c:pt idx="0">
                  <c:v>0.98562115535586936</c:v>
                </c:pt>
                <c:pt idx="1">
                  <c:v>1.0313775019098832</c:v>
                </c:pt>
                <c:pt idx="2">
                  <c:v>1.0768606026750922</c:v>
                </c:pt>
                <c:pt idx="3">
                  <c:v>1.1223417098724751</c:v>
                </c:pt>
                <c:pt idx="4">
                  <c:v>1.168054040140788</c:v>
                </c:pt>
                <c:pt idx="5">
                  <c:v>1.2141989483209172</c:v>
                </c:pt>
                <c:pt idx="6">
                  <c:v>1.260951363659349</c:v>
                </c:pt>
                <c:pt idx="7">
                  <c:v>1.3084644893361088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04-49A2-89C4-4D7D0061CBC2}"/>
            </c:ext>
          </c:extLst>
        </c:ser>
        <c:ser>
          <c:idx val="3"/>
          <c:order val="3"/>
          <c:tx>
            <c:strRef>
              <c:f>DATA!$T$59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DATA!$T$60:$T$67</c:f>
              <c:numCache>
                <c:formatCode>0.000_ </c:formatCode>
                <c:ptCount val="8"/>
                <c:pt idx="0">
                  <c:v>0.77814581438964969</c:v>
                </c:pt>
                <c:pt idx="1">
                  <c:v>0.79096766890200343</c:v>
                </c:pt>
                <c:pt idx="2">
                  <c:v>0.807022577673284</c:v>
                </c:pt>
                <c:pt idx="3">
                  <c:v>0.82583119377117831</c:v>
                </c:pt>
                <c:pt idx="4">
                  <c:v>0.8470597030339565</c:v>
                </c:pt>
                <c:pt idx="5">
                  <c:v>0.87047153441223635</c:v>
                </c:pt>
                <c:pt idx="6">
                  <c:v>0.89589726719904861</c:v>
                </c:pt>
                <c:pt idx="7">
                  <c:v>0.9232152328270129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04-49A2-89C4-4D7D0061CBC2}"/>
            </c:ext>
          </c:extLst>
        </c:ser>
        <c:ser>
          <c:idx val="4"/>
          <c:order val="4"/>
          <c:tx>
            <c:strRef>
              <c:f>DATA!$U$59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DATA!$U$60:$U$67</c:f>
              <c:numCache>
                <c:formatCode>0.000_ </c:formatCode>
                <c:ptCount val="8"/>
                <c:pt idx="0">
                  <c:v>0.61948768287879841</c:v>
                </c:pt>
                <c:pt idx="1">
                  <c:v>0.61738456545825193</c:v>
                </c:pt>
                <c:pt idx="2">
                  <c:v>0.62081869128349865</c:v>
                </c:pt>
                <c:pt idx="3">
                  <c:v>0.62845383036527414</c:v>
                </c:pt>
                <c:pt idx="4">
                  <c:v>0.63943399328868389</c:v>
                </c:pt>
                <c:pt idx="5">
                  <c:v>0.65318929488825828</c:v>
                </c:pt>
                <c:pt idx="6">
                  <c:v>0.66932911632587366</c:v>
                </c:pt>
                <c:pt idx="7">
                  <c:v>0.68757998538152654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04-49A2-89C4-4D7D0061C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0048"/>
        <c:axId val="299392400"/>
      </c:scatterChart>
      <c:valAx>
        <c:axId val="299390048"/>
        <c:scaling>
          <c:orientation val="minMax"/>
          <c:max val="-18"/>
          <c:min val="-3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 sz="1400"/>
                  <a:t>蒸発温度</a:t>
                </a:r>
              </a:p>
            </c:rich>
          </c:tx>
          <c:layout>
            <c:manualLayout>
              <c:xMode val="edge"/>
              <c:yMode val="edge"/>
              <c:x val="0.45416666666666666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2400"/>
        <c:crosses val="autoZero"/>
        <c:crossBetween val="midCat"/>
        <c:majorUnit val="2"/>
      </c:valAx>
      <c:valAx>
        <c:axId val="299392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/>
                  <a:t>ＣＯＰ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6969696969696972"/>
            </c:manualLayout>
          </c:layout>
          <c:overlay val="0"/>
          <c:spPr>
            <a:noFill/>
            <a:ln w="25400">
              <a:noFill/>
            </a:ln>
          </c:spPr>
        </c:title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0048"/>
        <c:crossesAt val="-32"/>
        <c:crossBetween val="midCat"/>
        <c:majorUnit val="0.1"/>
        <c:min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251730890558547"/>
          <c:y val="0.15937149270482603"/>
          <c:w val="6.6666666666666652E-2"/>
          <c:h val="0.221661054994388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ja-JP" altLang="en-US" sz="1400"/>
              <a:t>冷蔵庫条件　ＣＯＰ　比較　</a:t>
            </a:r>
            <a:endParaRPr lang="en-US" altLang="ja-JP" sz="1400"/>
          </a:p>
          <a:p>
            <a:pPr>
              <a:defRPr lang="ja-JP"/>
            </a:pPr>
            <a:r>
              <a:rPr lang="ja-JP" altLang="en-US" sz="1400"/>
              <a:t>凝縮温度　５５℃、蒸発温度</a:t>
            </a:r>
            <a:r>
              <a:rPr lang="en-US" altLang="ja-JP" sz="1400"/>
              <a:t>-</a:t>
            </a:r>
            <a:r>
              <a:rPr lang="ja-JP" altLang="en-US" sz="1400"/>
              <a:t>３２℃を１００％とした場合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DATA!$Q$72</c:f>
              <c:strCache>
                <c:ptCount val="1"/>
                <c:pt idx="0">
                  <c:v>35.0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DATA!$Q$73:$Q$80</c:f>
              <c:numCache>
                <c:formatCode>0.0%</c:formatCode>
                <c:ptCount val="8"/>
                <c:pt idx="0">
                  <c:v>2.7021483933418255</c:v>
                </c:pt>
                <c:pt idx="1">
                  <c:v>3.1651584630763101</c:v>
                </c:pt>
                <c:pt idx="2">
                  <c:v>3.671891121153827</c:v>
                </c:pt>
                <c:pt idx="3">
                  <c:v>4.2175903548642886</c:v>
                </c:pt>
                <c:pt idx="4">
                  <c:v>4.7952808572372643</c:v>
                </c:pt>
                <c:pt idx="5">
                  <c:v>5.3960351022804556</c:v>
                </c:pt>
                <c:pt idx="6">
                  <c:v>6.0095038037783919</c:v>
                </c:pt>
                <c:pt idx="7">
                  <c:v>6.6246557669587123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E6-4086-B4DB-1D09CDBBD118}"/>
            </c:ext>
          </c:extLst>
        </c:ser>
        <c:ser>
          <c:idx val="1"/>
          <c:order val="1"/>
          <c:tx>
            <c:strRef>
              <c:f>DATA!$R$72</c:f>
              <c:strCache>
                <c:ptCount val="1"/>
                <c:pt idx="0">
                  <c:v>40.0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DATA!$R$73:$R$80</c:f>
              <c:numCache>
                <c:formatCode>0.0%</c:formatCode>
                <c:ptCount val="8"/>
                <c:pt idx="0">
                  <c:v>2.0466745670594109</c:v>
                </c:pt>
                <c:pt idx="1">
                  <c:v>2.2371002713579444</c:v>
                </c:pt>
                <c:pt idx="2">
                  <c:v>2.425571427941013</c:v>
                </c:pt>
                <c:pt idx="3">
                  <c:v>2.611084610909248</c:v>
                </c:pt>
                <c:pt idx="4">
                  <c:v>2.7929548875069021</c:v>
                </c:pt>
                <c:pt idx="5">
                  <c:v>2.970789440432827</c:v>
                </c:pt>
                <c:pt idx="6">
                  <c:v>3.144448513156989</c:v>
                </c:pt>
                <c:pt idx="7">
                  <c:v>3.314000535971882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E6-4086-B4DB-1D09CDBBD118}"/>
            </c:ext>
          </c:extLst>
        </c:ser>
        <c:ser>
          <c:idx val="2"/>
          <c:order val="2"/>
          <c:tx>
            <c:strRef>
              <c:f>DATA!$S$72</c:f>
              <c:strCache>
                <c:ptCount val="1"/>
                <c:pt idx="0">
                  <c:v>45.0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DATA!$S$73:$S$80</c:f>
              <c:numCache>
                <c:formatCode>0.0%</c:formatCode>
                <c:ptCount val="8"/>
                <c:pt idx="0">
                  <c:v>1.5910262344129678</c:v>
                </c:pt>
                <c:pt idx="1">
                  <c:v>1.6648878265295071</c:v>
                </c:pt>
                <c:pt idx="2">
                  <c:v>1.7383083351566457</c:v>
                </c:pt>
                <c:pt idx="3">
                  <c:v>1.8117256256926404</c:v>
                </c:pt>
                <c:pt idx="4">
                  <c:v>1.8855161650878465</c:v>
                </c:pt>
                <c:pt idx="5">
                  <c:v>1.9600049877964612</c:v>
                </c:pt>
                <c:pt idx="6">
                  <c:v>2.0354744710978405</c:v>
                </c:pt>
                <c:pt idx="7">
                  <c:v>2.1121719212488483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E6-4086-B4DB-1D09CDBBD118}"/>
            </c:ext>
          </c:extLst>
        </c:ser>
        <c:ser>
          <c:idx val="3"/>
          <c:order val="3"/>
          <c:tx>
            <c:strRef>
              <c:f>DATA!$T$72</c:f>
              <c:strCache>
                <c:ptCount val="1"/>
                <c:pt idx="0">
                  <c:v>50.0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DATA!$T$73:$T$80</c:f>
              <c:numCache>
                <c:formatCode>0.0%</c:formatCode>
                <c:ptCount val="8"/>
                <c:pt idx="0">
                  <c:v>1.2561118419232435</c:v>
                </c:pt>
                <c:pt idx="1">
                  <c:v>1.276809355153482</c:v>
                </c:pt>
                <c:pt idx="2">
                  <c:v>1.3027257845111611</c:v>
                </c:pt>
                <c:pt idx="3">
                  <c:v>1.3330873503949079</c:v>
                </c:pt>
                <c:pt idx="4">
                  <c:v>1.3673551976007279</c:v>
                </c:pt>
                <c:pt idx="5">
                  <c:v>1.4051474443641883</c:v>
                </c:pt>
                <c:pt idx="6">
                  <c:v>1.4461906054947815</c:v>
                </c:pt>
                <c:pt idx="7">
                  <c:v>1.4902882790772747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E6-4086-B4DB-1D09CDBBD118}"/>
            </c:ext>
          </c:extLst>
        </c:ser>
        <c:ser>
          <c:idx val="4"/>
          <c:order val="4"/>
          <c:tx>
            <c:strRef>
              <c:f>DATA!$U$72</c:f>
              <c:strCache>
                <c:ptCount val="1"/>
                <c:pt idx="0">
                  <c:v>55.0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DATA!$U$73:$U$80</c:f>
              <c:numCache>
                <c:formatCode>0.0%</c:formatCode>
                <c:ptCount val="8"/>
                <c:pt idx="0">
                  <c:v>1</c:v>
                </c:pt>
                <c:pt idx="1">
                  <c:v>0.99660506983646047</c:v>
                </c:pt>
                <c:pt idx="2">
                  <c:v>1.0021485631457836</c:v>
                </c:pt>
                <c:pt idx="3">
                  <c:v>1.0144734879066675</c:v>
                </c:pt>
                <c:pt idx="4">
                  <c:v>1.0321980742493437</c:v>
                </c:pt>
                <c:pt idx="5">
                  <c:v>1.054402392397612</c:v>
                </c:pt>
                <c:pt idx="6">
                  <c:v>1.0804558909314532</c:v>
                </c:pt>
                <c:pt idx="7">
                  <c:v>1.1099171208478253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E6-4086-B4DB-1D09CDBBD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1616"/>
        <c:axId val="299256072"/>
      </c:scatterChart>
      <c:valAx>
        <c:axId val="299391616"/>
        <c:scaling>
          <c:orientation val="minMax"/>
          <c:max val="-18"/>
          <c:min val="-32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ja-JP" sz="1400"/>
                </a:pPr>
                <a:r>
                  <a:rPr lang="ja-JP" altLang="en-US" sz="1400"/>
                  <a:t>蒸発温度　℃</a:t>
                </a:r>
              </a:p>
            </c:rich>
          </c:tx>
          <c:overlay val="0"/>
        </c:title>
        <c:numFmt formatCode="0_ 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9256072"/>
        <c:crosses val="autoZero"/>
        <c:crossBetween val="midCat"/>
        <c:majorUnit val="2"/>
      </c:valAx>
      <c:valAx>
        <c:axId val="299256072"/>
        <c:scaling>
          <c:orientation val="minMax"/>
          <c:max val="3"/>
          <c:min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 sz="1400"/>
                </a:pPr>
                <a:r>
                  <a:rPr lang="ja-JP" altLang="en-US" sz="1400"/>
                  <a:t>比率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9391616"/>
        <c:crossesAt val="-40"/>
        <c:crossBetween val="midCat"/>
        <c:majorUnit val="0.2"/>
      </c:valAx>
    </c:plotArea>
    <c:legend>
      <c:legendPos val="r"/>
      <c:layout>
        <c:manualLayout>
          <c:xMode val="edge"/>
          <c:yMode val="edge"/>
          <c:x val="0.91434394157381393"/>
          <c:y val="0.21374136212968151"/>
          <c:w val="6.623135520735543E-2"/>
          <c:h val="0.25461996022217742"/>
        </c:manualLayout>
      </c:layout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Graph3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4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Graph5"/>
  <sheetViews>
    <sheetView zoomScale="85" workbookViewId="0" zoomToFit="1"/>
  </sheetViews>
  <pageMargins left="0.7" right="0.7" top="0.75" bottom="0.75" header="0.3" footer="0.3"/>
  <pageSetup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/>
  <sheetViews>
    <sheetView zoomScale="76" workbookViewId="0"/>
  </sheetViews>
  <pageMargins left="0.37" right="0.21" top="0.83" bottom="0.53" header="0.56999999999999995" footer="0.21"/>
  <pageSetup paperSize="9" orientation="landscape" r:id="rId1"/>
  <headerFooter alignWithMargins="0">
    <oddHeader>&amp;CCQN60L6C</oddHeader>
    <oddFooter>- &amp;P -</oddFooter>
  </headerFooter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2"/>
  <sheetViews>
    <sheetView zoomScale="78" workbookViewId="0"/>
  </sheetViews>
  <pageMargins left="0.78700000000000003" right="0.21" top="0.98399999999999999" bottom="0.52" header="0.5" footer="0.23"/>
  <pageSetup paperSize="9" orientation="landscape" horizontalDpi="4294967292" r:id="rId1"/>
  <headerFooter alignWithMargins="0">
    <oddHeader>&amp;CCQN60L6C</oddHeader>
    <oddFooter>- &amp;P -</oddFooter>
  </headerFooter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aph2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3"/>
  <sheetViews>
    <sheetView zoomScale="76" workbookViewId="0"/>
  </sheetViews>
  <pageMargins left="0.78700000000000003" right="0.78700000000000003" top="0.8" bottom="0.56999999999999995" header="0.5" footer="0.27"/>
  <pageSetup paperSize="9" orientation="landscape" horizontalDpi="4294967292" r:id="rId1"/>
  <headerFooter alignWithMargins="0">
    <oddHeader>&amp;A</oddHeader>
    <oddFooter>- &amp;P -</oddFooter>
  </headerFooter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Graph1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paperSize="9" orientation="landscape" r:id="rId1"/>
  <headerFooter alignWithMargins="0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aph6"/>
  <sheetViews>
    <sheetView zoomScale="85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</xdr:colOff>
          <xdr:row>7</xdr:row>
          <xdr:rowOff>45720</xdr:rowOff>
        </xdr:from>
        <xdr:to>
          <xdr:col>6</xdr:col>
          <xdr:colOff>579120</xdr:colOff>
          <xdr:row>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056120" cy="48539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0.85646</cdr:x>
      <cdr:y>0.06994</cdr:y>
    </cdr:from>
    <cdr:to>
      <cdr:x>0.96908</cdr:x>
      <cdr:y>0.1122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831463" y="395077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Cond.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7056120" cy="48539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0.87528</cdr:x>
      <cdr:y>0.05978</cdr:y>
    </cdr:from>
    <cdr:to>
      <cdr:x>0.9879</cdr:x>
      <cdr:y>0.10204</cdr:y>
    </cdr:to>
    <cdr:sp macro="" textlink="">
      <cdr:nvSpPr>
        <cdr:cNvPr id="3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03602" y="337697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7360920" cy="53416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0.8875</cdr:x>
      <cdr:y>0.03362</cdr:y>
    </cdr:from>
    <cdr:to>
      <cdr:x>1</cdr:x>
      <cdr:y>0.07582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123522" y="190190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7635240" cy="470916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0.88117</cdr:x>
      <cdr:y>0.0949</cdr:y>
    </cdr:from>
    <cdr:to>
      <cdr:x>0.96358</cdr:x>
      <cdr:y>0.1531</cdr:y>
    </cdr:to>
    <cdr:sp macro="" textlink="">
      <cdr:nvSpPr>
        <cdr:cNvPr id="10241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854744" y="589386"/>
          <a:ext cx="828175" cy="3613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18288" bIns="18288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(℃)</a:t>
          </a:r>
        </a:p>
        <a:p xmlns:a="http://schemas.openxmlformats.org/drawingml/2006/main">
          <a:pPr algn="ctr" rtl="0">
            <a:defRPr sz="1000"/>
          </a:pPr>
          <a:endParaRPr lang="en-US" altLang="ja-JP" sz="1100" b="0" i="0" strike="noStrike">
            <a:solidFill>
              <a:srgbClr val="000000"/>
            </a:solidFill>
            <a:latin typeface="明朝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7543800" cy="47396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0.89143</cdr:x>
      <cdr:y>0.03713</cdr:y>
    </cdr:from>
    <cdr:to>
      <cdr:x>0.99193</cdr:x>
      <cdr:y>0.10138</cdr:y>
    </cdr:to>
    <cdr:sp macro="" textlink="">
      <cdr:nvSpPr>
        <cdr:cNvPr id="11265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618277" y="225658"/>
          <a:ext cx="971621" cy="3904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7056120" cy="48539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0.87528</cdr:x>
      <cdr:y>0.07806</cdr:y>
    </cdr:from>
    <cdr:to>
      <cdr:x>0.9879</cdr:x>
      <cdr:y>0.12032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03601" y="440980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6949440" cy="470916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0.8805</cdr:x>
      <cdr:y>0.05925</cdr:y>
    </cdr:from>
    <cdr:to>
      <cdr:x>0.993</cdr:x>
      <cdr:y>0.09775</cdr:y>
    </cdr:to>
    <cdr:sp macro="" textlink="">
      <cdr:nvSpPr>
        <cdr:cNvPr id="12289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51292" y="367396"/>
          <a:ext cx="1028700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+mn-ea"/>
              <a:ea typeface="+mn-ea"/>
            </a:rPr>
            <a:t>凝縮温度</a:t>
          </a:r>
          <a:r>
            <a:rPr lang="en-US" altLang="ja-JP" sz="1200" b="0" i="0" strike="noStrike">
              <a:solidFill>
                <a:srgbClr val="000000"/>
              </a:solidFill>
              <a:latin typeface="+mn-ea"/>
              <a:ea typeface="+mn-ea"/>
            </a:rPr>
            <a:t>(℃</a:t>
          </a:r>
          <a:r>
            <a:rPr lang="ja-JP" altLang="en-US" sz="1200" b="0" i="0" strike="noStrike">
              <a:solidFill>
                <a:srgbClr val="000000"/>
              </a:solidFill>
              <a:latin typeface="+mn-ea"/>
              <a:ea typeface="+mn-ea"/>
            </a:rPr>
            <a:t>）</a:t>
          </a: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7581900" cy="46863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0.88136</cdr:x>
      <cdr:y>0.03651</cdr:y>
    </cdr:from>
    <cdr:to>
      <cdr:x>0.97664</cdr:x>
      <cdr:y>0.12981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067560" y="206565"/>
          <a:ext cx="872169" cy="5278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ja-JP" altLang="en-US" sz="1100"/>
            <a:t>凝縮温度</a:t>
          </a: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7360920" cy="53416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0.89514</cdr:x>
      <cdr:y>0.01925</cdr:y>
    </cdr:from>
    <cdr:to>
      <cdr:x>0.99043</cdr:x>
      <cdr:y>0.11256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193513" y="108879"/>
          <a:ext cx="872169" cy="5278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ja-JP" altLang="en-US" sz="1200"/>
            <a:t>凝縮温度</a:t>
          </a: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10"/>
  <sheetViews>
    <sheetView showGridLines="0" tabSelected="1" zoomScaleNormal="100" workbookViewId="0">
      <selection activeCell="H17" sqref="H17"/>
    </sheetView>
  </sheetViews>
  <sheetFormatPr defaultRowHeight="14.4"/>
  <cols>
    <col min="1" max="1" width="10.44140625" style="1" customWidth="1"/>
    <col min="2" max="2" width="9.6640625" style="1" customWidth="1"/>
    <col min="3" max="3" width="14.44140625" style="1" bestFit="1" customWidth="1"/>
    <col min="4" max="4" width="9.109375" style="1" bestFit="1" customWidth="1"/>
    <col min="5" max="5" width="13" style="1" bestFit="1" customWidth="1"/>
    <col min="6" max="6" width="9.21875" style="1" customWidth="1"/>
    <col min="7" max="7" width="9.88671875" style="1" customWidth="1"/>
    <col min="8" max="8" width="9.6640625" style="1" customWidth="1"/>
    <col min="9" max="9" width="9.109375" style="1" bestFit="1" customWidth="1"/>
    <col min="10" max="10" width="9.6640625" style="1" bestFit="1" customWidth="1"/>
    <col min="11" max="11" width="8" style="1" customWidth="1"/>
    <col min="12" max="14" width="9.109375" style="1" bestFit="1" customWidth="1"/>
    <col min="15" max="15" width="13.109375" style="1" customWidth="1"/>
    <col min="16" max="16" width="9" style="1" customWidth="1"/>
    <col min="17" max="17" width="9.77734375" style="1" customWidth="1"/>
    <col min="18" max="18" width="8.44140625" style="1" customWidth="1"/>
    <col min="19" max="20" width="9.109375" style="1" bestFit="1" customWidth="1"/>
    <col min="21" max="16384" width="8.88671875" style="1"/>
  </cols>
  <sheetData>
    <row r="1" spans="1:21">
      <c r="B1" s="2" t="s">
        <v>63</v>
      </c>
      <c r="C1" s="3"/>
      <c r="D1" s="3"/>
      <c r="E1" s="3"/>
      <c r="F1" s="4"/>
    </row>
    <row r="2" spans="1:21">
      <c r="N2" s="1" t="s">
        <v>51</v>
      </c>
      <c r="Q2" s="1" t="s">
        <v>52</v>
      </c>
    </row>
    <row r="3" spans="1:21">
      <c r="B3" s="5" t="s">
        <v>64</v>
      </c>
      <c r="C3" s="6"/>
      <c r="D3" s="208" t="s">
        <v>26</v>
      </c>
      <c r="E3" s="209"/>
      <c r="F3" s="7">
        <v>2</v>
      </c>
      <c r="G3" s="1" t="s">
        <v>59</v>
      </c>
      <c r="H3" s="8"/>
      <c r="I3" s="9"/>
      <c r="K3" s="10" t="s">
        <v>66</v>
      </c>
      <c r="N3" s="1" t="s">
        <v>35</v>
      </c>
      <c r="Q3" s="1" t="s">
        <v>36</v>
      </c>
    </row>
    <row r="4" spans="1:21">
      <c r="B4" s="217" t="s">
        <v>43</v>
      </c>
      <c r="C4" s="218"/>
      <c r="D4" s="11">
        <v>10.17</v>
      </c>
      <c r="E4" s="12" t="s">
        <v>1</v>
      </c>
      <c r="G4" s="8" t="s">
        <v>49</v>
      </c>
      <c r="H4" s="8"/>
      <c r="N4" s="13" t="s">
        <v>27</v>
      </c>
      <c r="O4" s="14">
        <f>B21</f>
        <v>0.93025835595970552</v>
      </c>
      <c r="Q4" s="15" t="s">
        <v>30</v>
      </c>
      <c r="R4" s="210">
        <f>B22</f>
        <v>-403.45924099760987</v>
      </c>
      <c r="S4" s="210"/>
    </row>
    <row r="5" spans="1:21">
      <c r="B5" s="16" t="s">
        <v>44</v>
      </c>
      <c r="C5" s="17"/>
      <c r="D5" s="11">
        <f>37*60</f>
        <v>2220</v>
      </c>
      <c r="E5" s="12" t="s">
        <v>3</v>
      </c>
      <c r="G5" s="5" t="s">
        <v>48</v>
      </c>
      <c r="H5" s="6"/>
      <c r="I5" s="18">
        <v>120.2650528866975</v>
      </c>
      <c r="J5" s="19" t="s">
        <v>0</v>
      </c>
      <c r="K5" s="20">
        <f>I5/0.86</f>
        <v>139.84308475197383</v>
      </c>
      <c r="L5" s="21" t="s">
        <v>19</v>
      </c>
      <c r="N5" s="13" t="s">
        <v>28</v>
      </c>
      <c r="O5" s="22">
        <f>C21</f>
        <v>-1.2294405565323853E-2</v>
      </c>
      <c r="Q5" s="15" t="s">
        <v>31</v>
      </c>
      <c r="R5" s="215">
        <f>C22</f>
        <v>-10.669447614327456</v>
      </c>
      <c r="S5" s="216"/>
    </row>
    <row r="6" spans="1:21">
      <c r="B6" s="23" t="s">
        <v>45</v>
      </c>
      <c r="C6" s="17"/>
      <c r="D6" s="11">
        <v>3</v>
      </c>
      <c r="E6" s="12" t="s">
        <v>60</v>
      </c>
      <c r="G6" s="24" t="s">
        <v>50</v>
      </c>
      <c r="H6" s="25"/>
      <c r="I6" s="26">
        <v>134.74999999999494</v>
      </c>
      <c r="J6" s="21" t="s">
        <v>2</v>
      </c>
      <c r="N6" s="13" t="s">
        <v>29</v>
      </c>
      <c r="O6" s="27">
        <f>E21</f>
        <v>-2.0532051517885733E-3</v>
      </c>
      <c r="Q6" s="15" t="s">
        <v>32</v>
      </c>
      <c r="R6" s="193">
        <f>E22</f>
        <v>13.074324324321825</v>
      </c>
      <c r="S6" s="194"/>
    </row>
    <row r="7" spans="1:21">
      <c r="B7" s="23" t="s">
        <v>46</v>
      </c>
      <c r="C7" s="17"/>
      <c r="D7" s="11">
        <v>3</v>
      </c>
      <c r="E7" s="12" t="s">
        <v>60</v>
      </c>
      <c r="G7" s="5" t="s">
        <v>4</v>
      </c>
      <c r="H7" s="6"/>
      <c r="I7" s="28">
        <f>I5/I6/0.86</f>
        <v>1.0377965473245203</v>
      </c>
      <c r="J7" s="21"/>
      <c r="Q7" s="15" t="s">
        <v>34</v>
      </c>
      <c r="R7" s="195">
        <f>G22</f>
        <v>0.34869206555942833</v>
      </c>
      <c r="S7" s="196"/>
    </row>
    <row r="8" spans="1:21">
      <c r="B8" s="29" t="s">
        <v>47</v>
      </c>
      <c r="C8" s="25"/>
      <c r="D8" s="30">
        <v>9</v>
      </c>
      <c r="E8" s="12" t="s">
        <v>60</v>
      </c>
      <c r="Q8" s="15" t="s">
        <v>33</v>
      </c>
      <c r="R8" s="197">
        <f>I22</f>
        <v>3.7469902334827346E-2</v>
      </c>
      <c r="S8" s="198"/>
    </row>
    <row r="9" spans="1:21">
      <c r="B9" s="31"/>
      <c r="C9" s="21"/>
      <c r="D9" s="30" t="s">
        <v>21</v>
      </c>
      <c r="E9" s="15"/>
      <c r="H9" s="1" t="s">
        <v>65</v>
      </c>
    </row>
    <row r="10" spans="1:21">
      <c r="Q10" s="4"/>
    </row>
    <row r="11" spans="1:21" ht="15.75" customHeight="1">
      <c r="A11" s="207" t="s">
        <v>42</v>
      </c>
      <c r="B11" s="202"/>
      <c r="C11" s="202"/>
      <c r="D11" s="202"/>
      <c r="E11" s="202"/>
      <c r="F11" s="211" t="s">
        <v>41</v>
      </c>
      <c r="G11" s="202"/>
      <c r="H11" s="202"/>
      <c r="I11" s="202"/>
      <c r="J11" s="203"/>
      <c r="K11" s="211" t="s">
        <v>53</v>
      </c>
      <c r="L11" s="202"/>
      <c r="M11" s="202"/>
      <c r="N11" s="202"/>
      <c r="O11" s="203"/>
      <c r="Q11" s="207" t="s">
        <v>61</v>
      </c>
      <c r="R11" s="202"/>
      <c r="S11" s="202"/>
      <c r="T11" s="202"/>
      <c r="U11" s="203"/>
    </row>
    <row r="12" spans="1:21">
      <c r="A12" s="32"/>
      <c r="B12" s="33"/>
      <c r="C12" s="34" t="s">
        <v>55</v>
      </c>
      <c r="D12" s="34"/>
      <c r="E12" s="34"/>
      <c r="F12" s="35"/>
      <c r="G12" s="33"/>
      <c r="H12" s="5" t="s">
        <v>55</v>
      </c>
      <c r="I12" s="34"/>
      <c r="J12" s="6"/>
      <c r="K12" s="35"/>
      <c r="L12" s="33"/>
      <c r="M12" s="5" t="s">
        <v>55</v>
      </c>
      <c r="N12" s="34"/>
      <c r="O12" s="6"/>
      <c r="P12" s="36"/>
      <c r="Q12" s="37"/>
      <c r="R12" s="38"/>
      <c r="S12" s="5" t="s">
        <v>57</v>
      </c>
      <c r="T12" s="34"/>
      <c r="U12" s="6"/>
    </row>
    <row r="13" spans="1:21" ht="15.6">
      <c r="A13" s="39"/>
      <c r="B13" s="40"/>
      <c r="C13" s="41">
        <v>37.799999999999997</v>
      </c>
      <c r="D13" s="41">
        <v>46.1</v>
      </c>
      <c r="E13" s="41">
        <v>54.4</v>
      </c>
      <c r="F13" s="42"/>
      <c r="G13" s="40"/>
      <c r="H13" s="43">
        <f>C13</f>
        <v>37.799999999999997</v>
      </c>
      <c r="I13" s="43">
        <f>D13</f>
        <v>46.1</v>
      </c>
      <c r="J13" s="44">
        <f>E13</f>
        <v>54.4</v>
      </c>
      <c r="K13" s="42"/>
      <c r="L13" s="40"/>
      <c r="M13" s="43">
        <v>37.799999999999997</v>
      </c>
      <c r="N13" s="43">
        <v>46.1</v>
      </c>
      <c r="O13" s="43">
        <v>54.4</v>
      </c>
      <c r="P13" s="45"/>
      <c r="Q13" s="46"/>
      <c r="R13" s="47"/>
      <c r="S13" s="48">
        <f>IF(C13="","",C13)</f>
        <v>37.799999999999997</v>
      </c>
      <c r="T13" s="48">
        <f t="shared" ref="T13:U13" si="0">IF(D13="","",D13)</f>
        <v>46.1</v>
      </c>
      <c r="U13" s="48">
        <f t="shared" si="0"/>
        <v>54.4</v>
      </c>
    </row>
    <row r="14" spans="1:21" ht="15.6">
      <c r="A14" s="220" t="s">
        <v>58</v>
      </c>
      <c r="B14" s="49">
        <v>-34.4</v>
      </c>
      <c r="C14" s="191">
        <v>70.554507000000001</v>
      </c>
      <c r="D14" s="191">
        <v>67.112824000000003</v>
      </c>
      <c r="E14" s="191">
        <v>61.950299000000001</v>
      </c>
      <c r="F14" s="220" t="s">
        <v>58</v>
      </c>
      <c r="G14" s="51">
        <f>IF(B14="","",B14)</f>
        <v>-34.4</v>
      </c>
      <c r="H14" s="192">
        <v>49.7</v>
      </c>
      <c r="I14" s="192">
        <v>51.3</v>
      </c>
      <c r="J14" s="192">
        <v>72</v>
      </c>
      <c r="K14" s="220" t="s">
        <v>58</v>
      </c>
      <c r="L14" s="51">
        <v>-34.4</v>
      </c>
      <c r="M14" s="53">
        <v>0.75025112426646601</v>
      </c>
      <c r="N14" s="53">
        <v>0.71365351130151711</v>
      </c>
      <c r="O14" s="53">
        <v>0.65875708653727427</v>
      </c>
      <c r="P14" s="45"/>
      <c r="Q14" s="220" t="s">
        <v>58</v>
      </c>
      <c r="R14" s="54">
        <f>IF(B14="","",B14)</f>
        <v>-34.4</v>
      </c>
      <c r="S14" s="55">
        <f>IF(C14="","",C14/H14)</f>
        <v>1.4196077867203218</v>
      </c>
      <c r="T14" s="55">
        <f t="shared" ref="T14:U19" si="1">IF(D14="","",D14/I14)</f>
        <v>1.3082421832358675</v>
      </c>
      <c r="U14" s="55">
        <f t="shared" si="1"/>
        <v>0.86042081944444448</v>
      </c>
    </row>
    <row r="15" spans="1:21" ht="15.6">
      <c r="A15" s="221"/>
      <c r="B15" s="49">
        <v>-23.3</v>
      </c>
      <c r="C15" s="191">
        <v>129.06312199999999</v>
      </c>
      <c r="D15" s="191">
        <v>126.48186</v>
      </c>
      <c r="E15" s="191">
        <v>121.319335</v>
      </c>
      <c r="F15" s="221"/>
      <c r="G15" s="51">
        <f t="shared" ref="G15:G19" si="2">IF(B15="","",B15)</f>
        <v>-23.3</v>
      </c>
      <c r="H15" s="192">
        <v>67.599999999999994</v>
      </c>
      <c r="I15" s="192">
        <v>72.400000000000006</v>
      </c>
      <c r="J15" s="192">
        <v>141</v>
      </c>
      <c r="K15" s="221"/>
      <c r="L15" s="51">
        <v>-23.3</v>
      </c>
      <c r="M15" s="56">
        <v>0.81948874395969551</v>
      </c>
      <c r="N15" s="56">
        <v>0.80309897187428991</v>
      </c>
      <c r="O15" s="56">
        <v>0.77031942135395981</v>
      </c>
      <c r="P15" s="45"/>
      <c r="Q15" s="221"/>
      <c r="R15" s="54">
        <f t="shared" ref="R15:R19" si="3">IF(B15="","",B15)</f>
        <v>-23.3</v>
      </c>
      <c r="S15" s="55">
        <f t="shared" ref="S15:S19" si="4">IF(C15="","",C15/H15)</f>
        <v>1.9092177810650888</v>
      </c>
      <c r="T15" s="55">
        <f t="shared" si="1"/>
        <v>1.7469870165745855</v>
      </c>
      <c r="U15" s="55">
        <f t="shared" si="1"/>
        <v>0.8604208156028369</v>
      </c>
    </row>
    <row r="16" spans="1:21" ht="15.6">
      <c r="A16" s="221"/>
      <c r="B16" s="49">
        <v>-12.2</v>
      </c>
      <c r="C16" s="191">
        <v>215.10520399999999</v>
      </c>
      <c r="D16" s="191">
        <v>210.8031</v>
      </c>
      <c r="E16" s="191">
        <v>203.91973300000001</v>
      </c>
      <c r="F16" s="221"/>
      <c r="G16" s="51">
        <f t="shared" si="2"/>
        <v>-12.2</v>
      </c>
      <c r="H16" s="192">
        <v>86.2</v>
      </c>
      <c r="I16" s="192">
        <v>93.5</v>
      </c>
      <c r="J16" s="192">
        <v>237</v>
      </c>
      <c r="K16" s="221"/>
      <c r="L16" s="51">
        <v>-12.2</v>
      </c>
      <c r="M16" s="56">
        <v>0.85637336918624485</v>
      </c>
      <c r="N16" s="56">
        <v>0.83924590212101469</v>
      </c>
      <c r="O16" s="56">
        <v>0.81184195242793622</v>
      </c>
      <c r="P16" s="45"/>
      <c r="Q16" s="221"/>
      <c r="R16" s="54">
        <f t="shared" si="3"/>
        <v>-12.2</v>
      </c>
      <c r="S16" s="55">
        <f t="shared" si="4"/>
        <v>2.4954199999999997</v>
      </c>
      <c r="T16" s="55">
        <f t="shared" si="1"/>
        <v>2.2545786096256686</v>
      </c>
      <c r="U16" s="55">
        <f t="shared" si="1"/>
        <v>0.8604208143459916</v>
      </c>
    </row>
    <row r="17" spans="1:21" ht="15.6">
      <c r="A17" s="221"/>
      <c r="B17" s="49"/>
      <c r="C17" s="50"/>
      <c r="D17" s="50"/>
      <c r="E17" s="50"/>
      <c r="F17" s="221"/>
      <c r="G17" s="51" t="str">
        <f t="shared" si="2"/>
        <v/>
      </c>
      <c r="H17" s="52"/>
      <c r="I17" s="52"/>
      <c r="J17" s="52"/>
      <c r="K17" s="221"/>
      <c r="L17" s="51">
        <v>-20</v>
      </c>
      <c r="M17" s="56">
        <v>0.84526961208866414</v>
      </c>
      <c r="N17" s="56">
        <v>0.75771180417971484</v>
      </c>
      <c r="O17" s="56">
        <v>0.6667863875215928</v>
      </c>
      <c r="P17" s="45"/>
      <c r="Q17" s="221"/>
      <c r="R17" s="54" t="str">
        <f t="shared" si="3"/>
        <v/>
      </c>
      <c r="S17" s="55" t="str">
        <f t="shared" si="4"/>
        <v/>
      </c>
      <c r="T17" s="55" t="str">
        <f t="shared" si="1"/>
        <v/>
      </c>
      <c r="U17" s="55" t="str">
        <f t="shared" si="1"/>
        <v/>
      </c>
    </row>
    <row r="18" spans="1:21" ht="15.6">
      <c r="A18" s="221"/>
      <c r="B18" s="49"/>
      <c r="C18" s="57"/>
      <c r="D18" s="57"/>
      <c r="E18" s="57"/>
      <c r="F18" s="221"/>
      <c r="G18" s="51" t="str">
        <f t="shared" si="2"/>
        <v/>
      </c>
      <c r="H18" s="58"/>
      <c r="I18" s="58"/>
      <c r="J18" s="58"/>
      <c r="K18" s="221"/>
      <c r="L18" s="51">
        <v>-15</v>
      </c>
      <c r="M18" s="56">
        <v>0.86285114347676684</v>
      </c>
      <c r="N18" s="56">
        <v>0.77820435475792027</v>
      </c>
      <c r="O18" s="56">
        <v>0.69082702385327277</v>
      </c>
      <c r="P18" s="45"/>
      <c r="Q18" s="221"/>
      <c r="R18" s="54" t="str">
        <f t="shared" si="3"/>
        <v/>
      </c>
      <c r="S18" s="55" t="str">
        <f t="shared" si="4"/>
        <v/>
      </c>
      <c r="T18" s="55" t="str">
        <f t="shared" si="1"/>
        <v/>
      </c>
      <c r="U18" s="55" t="str">
        <f t="shared" si="1"/>
        <v/>
      </c>
    </row>
    <row r="19" spans="1:21" ht="13.5" customHeight="1">
      <c r="A19" s="222"/>
      <c r="B19" s="49"/>
      <c r="C19" s="59"/>
      <c r="D19" s="60"/>
      <c r="E19" s="61"/>
      <c r="F19" s="222"/>
      <c r="G19" s="51" t="str">
        <f t="shared" si="2"/>
        <v/>
      </c>
      <c r="H19" s="58"/>
      <c r="I19" s="58"/>
      <c r="J19" s="58"/>
      <c r="K19" s="222"/>
      <c r="L19" s="51">
        <v>-10</v>
      </c>
      <c r="M19" s="56">
        <v>0.87548918516073793</v>
      </c>
      <c r="N19" s="56">
        <v>0.79285372664203291</v>
      </c>
      <c r="O19" s="56">
        <v>0.70798487686147449</v>
      </c>
      <c r="P19" s="45"/>
      <c r="Q19" s="222"/>
      <c r="R19" s="54" t="str">
        <f t="shared" si="3"/>
        <v/>
      </c>
      <c r="S19" s="55" t="str">
        <f t="shared" si="4"/>
        <v/>
      </c>
      <c r="T19" s="55" t="str">
        <f t="shared" si="1"/>
        <v/>
      </c>
      <c r="U19" s="55" t="str">
        <f t="shared" si="1"/>
        <v/>
      </c>
    </row>
    <row r="20" spans="1:21" ht="13.5" customHeight="1">
      <c r="B20" s="62"/>
      <c r="D20" s="8"/>
      <c r="E20" s="8"/>
      <c r="F20" s="8"/>
      <c r="G20" s="63"/>
      <c r="H20" s="63"/>
      <c r="P20" s="45"/>
      <c r="Q20" s="45"/>
      <c r="R20" s="45"/>
    </row>
    <row r="21" spans="1:21">
      <c r="A21" s="64" t="s">
        <v>67</v>
      </c>
      <c r="B21" s="65">
        <v>0.93025835595970552</v>
      </c>
      <c r="C21" s="66">
        <v>-1.2294405565323853E-2</v>
      </c>
      <c r="D21" s="65" t="s">
        <v>68</v>
      </c>
      <c r="E21" s="67">
        <v>-2.0532051517885733E-3</v>
      </c>
      <c r="F21" s="68" t="s">
        <v>69</v>
      </c>
      <c r="G21" s="69"/>
      <c r="H21" s="70"/>
      <c r="I21" s="71"/>
      <c r="J21" s="71"/>
      <c r="K21" s="71"/>
    </row>
    <row r="22" spans="1:21">
      <c r="A22" s="64" t="s">
        <v>70</v>
      </c>
      <c r="B22" s="72">
        <v>-403.45924099760987</v>
      </c>
      <c r="C22" s="73">
        <v>-10.669447614327456</v>
      </c>
      <c r="D22" s="74" t="s">
        <v>71</v>
      </c>
      <c r="E22" s="75">
        <v>13.074324324321825</v>
      </c>
      <c r="F22" s="76" t="s">
        <v>72</v>
      </c>
      <c r="G22" s="77">
        <v>0.34869206555942833</v>
      </c>
      <c r="H22" s="70" t="s">
        <v>73</v>
      </c>
      <c r="I22" s="71">
        <v>3.7469902334827346E-2</v>
      </c>
      <c r="J22" s="71" t="s">
        <v>74</v>
      </c>
      <c r="K22" s="71"/>
    </row>
    <row r="23" spans="1:21">
      <c r="A23" s="71" t="s">
        <v>62</v>
      </c>
      <c r="F23" s="62"/>
      <c r="G23" s="63"/>
      <c r="H23" s="78"/>
    </row>
    <row r="24" spans="1:21">
      <c r="A24" s="207" t="s">
        <v>42</v>
      </c>
      <c r="B24" s="202"/>
      <c r="C24" s="202"/>
      <c r="D24" s="202"/>
      <c r="E24" s="202"/>
      <c r="F24" s="211" t="s">
        <v>41</v>
      </c>
      <c r="G24" s="202"/>
      <c r="H24" s="202"/>
      <c r="I24" s="202"/>
      <c r="J24" s="203"/>
      <c r="K24" s="211" t="s">
        <v>53</v>
      </c>
      <c r="L24" s="202"/>
      <c r="M24" s="202"/>
      <c r="N24" s="202"/>
      <c r="O24" s="203"/>
      <c r="Q24" s="207" t="s">
        <v>61</v>
      </c>
      <c r="R24" s="202"/>
      <c r="S24" s="202"/>
      <c r="T24" s="202"/>
      <c r="U24" s="203"/>
    </row>
    <row r="25" spans="1:21">
      <c r="A25" s="32"/>
      <c r="B25" s="33"/>
      <c r="C25" s="34" t="s">
        <v>55</v>
      </c>
      <c r="D25" s="34"/>
      <c r="E25" s="34"/>
      <c r="F25" s="35"/>
      <c r="G25" s="33"/>
      <c r="H25" s="34" t="s">
        <v>54</v>
      </c>
      <c r="I25" s="34"/>
      <c r="J25" s="34"/>
      <c r="K25" s="35"/>
      <c r="L25" s="33"/>
      <c r="M25" s="5" t="s">
        <v>56</v>
      </c>
      <c r="N25" s="34"/>
      <c r="O25" s="6"/>
      <c r="Q25" s="37"/>
      <c r="R25" s="38"/>
      <c r="S25" s="5" t="s">
        <v>57</v>
      </c>
      <c r="T25" s="34"/>
      <c r="U25" s="6"/>
    </row>
    <row r="26" spans="1:21" ht="15.6">
      <c r="A26" s="39"/>
      <c r="B26" s="40"/>
      <c r="C26" s="43">
        <v>37.799999999999997</v>
      </c>
      <c r="D26" s="43">
        <v>46.1</v>
      </c>
      <c r="E26" s="79">
        <v>54.4</v>
      </c>
      <c r="F26" s="42"/>
      <c r="G26" s="40"/>
      <c r="H26" s="43">
        <v>37.799999999999997</v>
      </c>
      <c r="I26" s="43">
        <v>46.1</v>
      </c>
      <c r="J26" s="44">
        <v>54.4</v>
      </c>
      <c r="K26" s="42"/>
      <c r="L26" s="40"/>
      <c r="M26" s="43">
        <v>37.799999999999997</v>
      </c>
      <c r="N26" s="43">
        <v>46.1</v>
      </c>
      <c r="O26" s="44">
        <v>54.4</v>
      </c>
      <c r="P26" s="80"/>
      <c r="Q26" s="46"/>
      <c r="R26" s="47"/>
      <c r="S26" s="48">
        <f>IF(C26="","",C26)</f>
        <v>37.799999999999997</v>
      </c>
      <c r="T26" s="48">
        <f t="shared" ref="T26" si="5">IF(D26="","",D26)</f>
        <v>46.1</v>
      </c>
      <c r="U26" s="48">
        <f t="shared" ref="U26" si="6">IF(E26="","",E26)</f>
        <v>54.4</v>
      </c>
    </row>
    <row r="27" spans="1:21" ht="15.6">
      <c r="A27" s="220" t="s">
        <v>58</v>
      </c>
      <c r="B27" s="51">
        <v>-34.4</v>
      </c>
      <c r="C27" s="81">
        <v>70.901692777405742</v>
      </c>
      <c r="D27" s="82">
        <v>66.931809512306984</v>
      </c>
      <c r="E27" s="83">
        <v>62.315043224978375</v>
      </c>
      <c r="F27" s="220" t="s">
        <v>58</v>
      </c>
      <c r="G27" s="51">
        <v>-34.4</v>
      </c>
      <c r="H27" s="84">
        <v>48.708333333325022</v>
      </c>
      <c r="I27" s="84">
        <v>57.666666666668227</v>
      </c>
      <c r="J27" s="84">
        <v>66.625000000011255</v>
      </c>
      <c r="K27" s="220" t="s">
        <v>58</v>
      </c>
      <c r="L27" s="51">
        <v>-34.4</v>
      </c>
      <c r="M27" s="53">
        <v>0.75394297232697327</v>
      </c>
      <c r="N27" s="53">
        <v>0.71172866867027018</v>
      </c>
      <c r="O27" s="53">
        <v>0.66263564478245807</v>
      </c>
      <c r="P27" s="80"/>
      <c r="Q27" s="220"/>
      <c r="R27" s="54"/>
      <c r="S27" s="55"/>
      <c r="T27" s="55"/>
      <c r="U27" s="55">
        <f t="shared" ref="U27:U32" si="7">IF(E27="","",E27/J27)</f>
        <v>0.93531021726030539</v>
      </c>
    </row>
    <row r="28" spans="1:21" ht="15.6">
      <c r="A28" s="221"/>
      <c r="B28" s="51">
        <v>-23.3</v>
      </c>
      <c r="C28" s="85">
        <v>129.21876574114629</v>
      </c>
      <c r="D28" s="86">
        <v>125.07917734821743</v>
      </c>
      <c r="E28" s="87">
        <v>120.2650528866975</v>
      </c>
      <c r="F28" s="221"/>
      <c r="G28" s="51">
        <v>-23.3</v>
      </c>
      <c r="H28" s="88">
        <v>52.583333333328426</v>
      </c>
      <c r="I28" s="88">
        <v>93.666666666661683</v>
      </c>
      <c r="J28" s="88">
        <v>134.74999999999494</v>
      </c>
      <c r="K28" s="221"/>
      <c r="L28" s="51">
        <v>-23.3</v>
      </c>
      <c r="M28" s="56">
        <v>0.82047700684967217</v>
      </c>
      <c r="N28" s="56">
        <v>0.79419261174080924</v>
      </c>
      <c r="O28" s="56">
        <v>0.76362523705544705</v>
      </c>
      <c r="P28" s="80"/>
      <c r="Q28" s="221"/>
      <c r="R28" s="54"/>
      <c r="S28" s="55"/>
      <c r="T28" s="55"/>
      <c r="U28" s="55">
        <f t="shared" si="7"/>
        <v>0.89250503069908738</v>
      </c>
    </row>
    <row r="29" spans="1:21" ht="15.6">
      <c r="A29" s="221"/>
      <c r="B29" s="51">
        <v>-12.2</v>
      </c>
      <c r="C29" s="85">
        <v>215.32314711884123</v>
      </c>
      <c r="D29" s="86">
        <v>210.93194884523064</v>
      </c>
      <c r="E29" s="87">
        <v>205.8252152722784</v>
      </c>
      <c r="F29" s="221"/>
      <c r="G29" s="51">
        <v>-12.2</v>
      </c>
      <c r="H29" s="88">
        <v>65.691666666679779</v>
      </c>
      <c r="I29" s="88">
        <v>138.90000000000327</v>
      </c>
      <c r="J29" s="88">
        <v>212.10833333332664</v>
      </c>
      <c r="K29" s="221"/>
      <c r="L29" s="51">
        <v>-12.2</v>
      </c>
      <c r="M29" s="56">
        <v>0.85724104081623032</v>
      </c>
      <c r="N29" s="56">
        <v>0.83975887306571528</v>
      </c>
      <c r="O29" s="56">
        <v>0.81942802772082246</v>
      </c>
      <c r="P29" s="80"/>
      <c r="Q29" s="221"/>
      <c r="R29" s="54"/>
      <c r="S29" s="55"/>
      <c r="T29" s="55"/>
      <c r="U29" s="55">
        <f t="shared" si="7"/>
        <v>0.97037778779217332</v>
      </c>
    </row>
    <row r="30" spans="1:21" ht="15.6">
      <c r="A30" s="221"/>
      <c r="B30" s="51"/>
      <c r="C30" s="85"/>
      <c r="D30" s="86"/>
      <c r="E30" s="87"/>
      <c r="F30" s="221"/>
      <c r="G30" s="51"/>
      <c r="H30" s="88"/>
      <c r="I30" s="88"/>
      <c r="J30" s="88"/>
      <c r="K30" s="221"/>
      <c r="L30" s="51"/>
      <c r="M30" s="56"/>
      <c r="N30" s="56"/>
      <c r="O30" s="56"/>
      <c r="P30" s="80"/>
      <c r="Q30" s="221"/>
      <c r="R30" s="54"/>
      <c r="S30" s="55"/>
      <c r="T30" s="55"/>
      <c r="U30" s="55" t="str">
        <f t="shared" si="7"/>
        <v/>
      </c>
    </row>
    <row r="31" spans="1:21" ht="15.6">
      <c r="A31" s="221"/>
      <c r="B31" s="51"/>
      <c r="C31" s="85"/>
      <c r="D31" s="86"/>
      <c r="E31" s="87"/>
      <c r="F31" s="221"/>
      <c r="G31" s="51"/>
      <c r="H31" s="88"/>
      <c r="I31" s="88"/>
      <c r="J31" s="88"/>
      <c r="K31" s="221"/>
      <c r="L31" s="51"/>
      <c r="M31" s="56"/>
      <c r="N31" s="56"/>
      <c r="O31" s="56"/>
      <c r="P31" s="80"/>
      <c r="Q31" s="221"/>
      <c r="R31" s="54"/>
      <c r="S31" s="55"/>
      <c r="T31" s="55"/>
      <c r="U31" s="55" t="str">
        <f t="shared" si="7"/>
        <v/>
      </c>
    </row>
    <row r="32" spans="1:21" ht="15.6">
      <c r="A32" s="222"/>
      <c r="B32" s="89"/>
      <c r="C32" s="85"/>
      <c r="D32" s="86"/>
      <c r="E32" s="87"/>
      <c r="F32" s="222"/>
      <c r="G32" s="51"/>
      <c r="H32" s="56"/>
      <c r="I32" s="56"/>
      <c r="J32" s="56"/>
      <c r="K32" s="222"/>
      <c r="L32" s="51"/>
      <c r="M32" s="56"/>
      <c r="N32" s="56"/>
      <c r="O32" s="56"/>
      <c r="P32" s="80"/>
      <c r="Q32" s="222"/>
      <c r="R32" s="54"/>
      <c r="S32" s="55"/>
      <c r="T32" s="55"/>
      <c r="U32" s="55" t="str">
        <f t="shared" si="7"/>
        <v/>
      </c>
    </row>
    <row r="33" spans="1:21">
      <c r="B33" s="8"/>
      <c r="C33" s="8"/>
      <c r="D33" s="62"/>
      <c r="E33" s="90"/>
      <c r="F33" s="62"/>
      <c r="G33" s="4"/>
      <c r="H33" s="62"/>
      <c r="I33" s="63"/>
      <c r="J33" s="63"/>
      <c r="K33" s="63"/>
      <c r="L33" s="63"/>
      <c r="M33" s="63"/>
    </row>
    <row r="34" spans="1:21">
      <c r="B34" s="8"/>
      <c r="C34" s="8"/>
      <c r="E34" s="90"/>
      <c r="G34" s="91"/>
      <c r="H34" s="92"/>
      <c r="I34" s="36"/>
    </row>
    <row r="35" spans="1:21" ht="20.100000000000001" customHeight="1">
      <c r="B35" s="8"/>
      <c r="C35" s="8"/>
      <c r="E35" s="90"/>
      <c r="G35" s="4"/>
      <c r="H35" s="92"/>
    </row>
    <row r="36" spans="1:21" ht="30" customHeight="1">
      <c r="B36" s="62"/>
      <c r="E36" s="90"/>
      <c r="G36" s="92"/>
      <c r="H36" s="92"/>
      <c r="I36" s="36"/>
    </row>
    <row r="37" spans="1:21" ht="20.100000000000001" customHeight="1">
      <c r="B37" s="62"/>
      <c r="G37" s="92"/>
      <c r="H37" s="93"/>
      <c r="I37" s="36"/>
      <c r="M37" s="94"/>
    </row>
    <row r="38" spans="1:21" ht="227.25" customHeight="1">
      <c r="B38" s="62"/>
      <c r="C38" s="95"/>
      <c r="D38" s="8"/>
      <c r="E38" s="8"/>
      <c r="F38" s="8"/>
      <c r="G38" s="92"/>
      <c r="H38" s="93"/>
      <c r="I38" s="36"/>
      <c r="K38" s="8"/>
      <c r="L38" s="8"/>
      <c r="M38" s="96"/>
      <c r="N38" s="8"/>
    </row>
    <row r="39" spans="1:21">
      <c r="B39" s="62"/>
      <c r="C39" s="95"/>
      <c r="D39" s="8" t="s">
        <v>22</v>
      </c>
      <c r="E39" s="8"/>
      <c r="F39" s="8"/>
      <c r="G39" s="92"/>
      <c r="H39" s="93"/>
      <c r="I39" s="36"/>
      <c r="K39" s="8"/>
      <c r="L39" s="8"/>
      <c r="M39" s="96"/>
      <c r="N39" s="8"/>
    </row>
    <row r="40" spans="1:21">
      <c r="B40" s="62"/>
      <c r="C40" s="219" t="s">
        <v>11</v>
      </c>
      <c r="D40" s="219"/>
      <c r="E40" s="219"/>
      <c r="F40" s="219"/>
      <c r="G40" s="219"/>
      <c r="H40" s="97"/>
      <c r="I40" s="202" t="s">
        <v>12</v>
      </c>
      <c r="J40" s="202"/>
      <c r="K40" s="202"/>
      <c r="L40" s="202"/>
      <c r="M40" s="202"/>
      <c r="N40" s="203"/>
      <c r="O40" s="97"/>
      <c r="P40" s="98"/>
      <c r="Q40" s="202" t="s">
        <v>18</v>
      </c>
      <c r="R40" s="202"/>
      <c r="S40" s="202"/>
      <c r="T40" s="202"/>
      <c r="U40" s="203"/>
    </row>
    <row r="41" spans="1:21">
      <c r="A41" s="99"/>
      <c r="B41" s="15"/>
      <c r="C41" s="212" t="s">
        <v>10</v>
      </c>
      <c r="D41" s="212"/>
      <c r="E41" s="212"/>
      <c r="F41" s="212"/>
      <c r="G41" s="212"/>
      <c r="H41" s="99"/>
      <c r="I41" s="212" t="s">
        <v>10</v>
      </c>
      <c r="J41" s="212"/>
      <c r="K41" s="212"/>
      <c r="L41" s="212"/>
      <c r="M41" s="212"/>
      <c r="O41" s="100"/>
      <c r="P41" s="101"/>
      <c r="Q41" s="204" t="s">
        <v>10</v>
      </c>
      <c r="R41" s="205"/>
      <c r="S41" s="205"/>
      <c r="T41" s="205"/>
      <c r="U41" s="206"/>
    </row>
    <row r="42" spans="1:21">
      <c r="A42" s="102"/>
      <c r="B42" s="15"/>
      <c r="C42" s="103">
        <v>35</v>
      </c>
      <c r="D42" s="103">
        <v>40</v>
      </c>
      <c r="E42" s="103">
        <v>45</v>
      </c>
      <c r="F42" s="103">
        <v>50</v>
      </c>
      <c r="G42" s="104">
        <v>55</v>
      </c>
      <c r="H42" s="102"/>
      <c r="I42" s="105"/>
      <c r="J42" s="106">
        <v>35</v>
      </c>
      <c r="K42" s="107">
        <v>40</v>
      </c>
      <c r="L42" s="107">
        <v>45</v>
      </c>
      <c r="M42" s="107">
        <v>50</v>
      </c>
      <c r="N42" s="107">
        <v>55</v>
      </c>
      <c r="O42" s="39"/>
      <c r="P42" s="108"/>
      <c r="Q42" s="48">
        <v>35</v>
      </c>
      <c r="R42" s="48">
        <v>40</v>
      </c>
      <c r="S42" s="48">
        <v>45</v>
      </c>
      <c r="T42" s="48">
        <v>50</v>
      </c>
      <c r="U42" s="48">
        <v>55</v>
      </c>
    </row>
    <row r="43" spans="1:21">
      <c r="A43" s="109"/>
      <c r="B43" s="110">
        <v>-32</v>
      </c>
      <c r="C43" s="111">
        <v>82.749963488952218</v>
      </c>
      <c r="D43" s="111">
        <v>80.537547027326227</v>
      </c>
      <c r="E43" s="111">
        <v>78.10332623032329</v>
      </c>
      <c r="F43" s="111">
        <v>75.43518732930734</v>
      </c>
      <c r="G43" s="112">
        <v>72.521028246424564</v>
      </c>
      <c r="H43" s="109"/>
      <c r="I43" s="113">
        <v>-32</v>
      </c>
      <c r="J43" s="114">
        <v>43.398500576436064</v>
      </c>
      <c r="K43" s="115">
        <v>52.979391708536653</v>
      </c>
      <c r="L43" s="115">
        <v>62.560282840637299</v>
      </c>
      <c r="M43" s="115">
        <v>72.141173972737946</v>
      </c>
      <c r="N43" s="115">
        <v>81.722065104838478</v>
      </c>
      <c r="O43" s="116"/>
      <c r="P43" s="117">
        <v>-32</v>
      </c>
      <c r="Q43" s="118">
        <f>C43/J43/0.86</f>
        <v>2.2171477470375125</v>
      </c>
      <c r="R43" s="118">
        <f t="shared" ref="R43:R50" si="8">D43/K43/0.86</f>
        <v>1.7676365748420111</v>
      </c>
      <c r="S43" s="118">
        <f t="shared" ref="S43:S50" si="9">E43/L43/0.86</f>
        <v>1.45168495208685</v>
      </c>
      <c r="T43" s="118">
        <f t="shared" ref="T43:T50" si="10">F43/M43/0.86</f>
        <v>1.2158844841781096</v>
      </c>
      <c r="U43" s="118">
        <f t="shared" ref="U43:U50" si="11">G43/N43/0.86</f>
        <v>1.0318728108809567</v>
      </c>
    </row>
    <row r="44" spans="1:21">
      <c r="A44" s="119" t="s">
        <v>6</v>
      </c>
      <c r="B44" s="120">
        <v>-30</v>
      </c>
      <c r="C44" s="121">
        <v>92.402682563270744</v>
      </c>
      <c r="D44" s="121">
        <v>90.174758511704766</v>
      </c>
      <c r="E44" s="121">
        <v>87.723475421685023</v>
      </c>
      <c r="F44" s="121">
        <v>85.036634614993702</v>
      </c>
      <c r="G44" s="122">
        <v>82.102049186139837</v>
      </c>
      <c r="H44" s="119" t="s">
        <v>6</v>
      </c>
      <c r="I44" s="123">
        <v>-30</v>
      </c>
      <c r="J44" s="124">
        <v>41.82178204742258</v>
      </c>
      <c r="K44" s="125">
        <v>54.889593835117417</v>
      </c>
      <c r="L44" s="125">
        <v>67.95740562281236</v>
      </c>
      <c r="M44" s="125">
        <v>81.025217410507253</v>
      </c>
      <c r="N44" s="125">
        <v>94.093029198202089</v>
      </c>
      <c r="O44" s="116" t="s">
        <v>6</v>
      </c>
      <c r="P44" s="126">
        <v>-30</v>
      </c>
      <c r="Q44" s="127">
        <f t="shared" ref="Q44:Q50" si="12">C44/J44/0.86</f>
        <v>2.5691152902786243</v>
      </c>
      <c r="R44" s="127">
        <f t="shared" si="8"/>
        <v>1.9102777600690386</v>
      </c>
      <c r="S44" s="127">
        <f t="shared" si="9"/>
        <v>1.5009996372457823</v>
      </c>
      <c r="T44" s="127">
        <f t="shared" si="10"/>
        <v>1.2203584371873653</v>
      </c>
      <c r="U44" s="127">
        <f t="shared" si="11"/>
        <v>1.0146075630379976</v>
      </c>
    </row>
    <row r="45" spans="1:21">
      <c r="A45" s="119" t="s">
        <v>7</v>
      </c>
      <c r="B45" s="120">
        <v>-28</v>
      </c>
      <c r="C45" s="121">
        <v>102.8091852940007</v>
      </c>
      <c r="D45" s="121">
        <v>100.56453300625279</v>
      </c>
      <c r="E45" s="121">
        <v>98.094844601900348</v>
      </c>
      <c r="F45" s="121">
        <v>95.387829809670379</v>
      </c>
      <c r="G45" s="122">
        <v>92.431210219411724</v>
      </c>
      <c r="H45" s="119" t="s">
        <v>7</v>
      </c>
      <c r="I45" s="123">
        <v>-28</v>
      </c>
      <c r="J45" s="124">
        <v>40.544822737087657</v>
      </c>
      <c r="K45" s="125">
        <v>57.099555180376797</v>
      </c>
      <c r="L45" s="125">
        <v>73.65428762366605</v>
      </c>
      <c r="M45" s="125">
        <v>90.209020066955247</v>
      </c>
      <c r="N45" s="125">
        <v>106.76375251024433</v>
      </c>
      <c r="O45" s="116" t="s">
        <v>7</v>
      </c>
      <c r="P45" s="126">
        <v>-28</v>
      </c>
      <c r="Q45" s="127">
        <f t="shared" si="12"/>
        <v>2.9484791454273016</v>
      </c>
      <c r="R45" s="127">
        <f t="shared" si="8"/>
        <v>2.0479231953076509</v>
      </c>
      <c r="S45" s="127">
        <f t="shared" si="9"/>
        <v>1.5486372412657379</v>
      </c>
      <c r="T45" s="127">
        <f t="shared" si="10"/>
        <v>1.229545350251126</v>
      </c>
      <c r="U45" s="127">
        <f t="shared" si="11"/>
        <v>1.0066913993830231</v>
      </c>
    </row>
    <row r="46" spans="1:21">
      <c r="A46" s="119" t="s">
        <v>8</v>
      </c>
      <c r="B46" s="120">
        <v>-26</v>
      </c>
      <c r="C46" s="121">
        <v>114.01135320433427</v>
      </c>
      <c r="D46" s="121">
        <v>111.74868247001977</v>
      </c>
      <c r="E46" s="121">
        <v>109.25916919176912</v>
      </c>
      <c r="F46" s="121">
        <v>106.53042444089253</v>
      </c>
      <c r="G46" s="122">
        <v>103.55007124503463</v>
      </c>
      <c r="H46" s="119" t="s">
        <v>8</v>
      </c>
      <c r="I46" s="123">
        <v>-26</v>
      </c>
      <c r="J46" s="124">
        <v>39.567622645431356</v>
      </c>
      <c r="K46" s="125">
        <v>59.6092757443148</v>
      </c>
      <c r="L46" s="125">
        <v>79.650928843198301</v>
      </c>
      <c r="M46" s="125">
        <v>99.692581942081802</v>
      </c>
      <c r="N46" s="125">
        <v>119.73423504096519</v>
      </c>
      <c r="O46" s="116" t="s">
        <v>8</v>
      </c>
      <c r="P46" s="126">
        <v>-26</v>
      </c>
      <c r="Q46" s="127">
        <f t="shared" si="12"/>
        <v>3.3505005373523411</v>
      </c>
      <c r="R46" s="127">
        <f t="shared" si="8"/>
        <v>2.1798675932730878</v>
      </c>
      <c r="S46" s="127">
        <f t="shared" si="9"/>
        <v>1.5950290526043684</v>
      </c>
      <c r="T46" s="127">
        <f t="shared" si="10"/>
        <v>1.2425456753757602</v>
      </c>
      <c r="U46" s="127">
        <f t="shared" si="11"/>
        <v>1.0056193163638969</v>
      </c>
    </row>
    <row r="47" spans="1:21">
      <c r="A47" s="119" t="s">
        <v>5</v>
      </c>
      <c r="B47" s="120">
        <v>-24</v>
      </c>
      <c r="C47" s="121">
        <v>126.05240486262706</v>
      </c>
      <c r="D47" s="121">
        <v>123.77035341143949</v>
      </c>
      <c r="E47" s="121">
        <v>121.25951641548403</v>
      </c>
      <c r="F47" s="121">
        <v>118.50739882973866</v>
      </c>
      <c r="G47" s="122">
        <v>115.50151766792681</v>
      </c>
      <c r="H47" s="119" t="s">
        <v>5</v>
      </c>
      <c r="I47" s="123">
        <v>-24</v>
      </c>
      <c r="J47" s="124">
        <v>38.89018177245373</v>
      </c>
      <c r="K47" s="125">
        <v>62.41875552693142</v>
      </c>
      <c r="L47" s="125">
        <v>85.947329281409225</v>
      </c>
      <c r="M47" s="125">
        <v>109.47590303588703</v>
      </c>
      <c r="N47" s="125">
        <v>133.00447679036466</v>
      </c>
      <c r="O47" s="116" t="s">
        <v>5</v>
      </c>
      <c r="P47" s="126">
        <v>-24</v>
      </c>
      <c r="Q47" s="127">
        <f t="shared" si="12"/>
        <v>3.7688834845603902</v>
      </c>
      <c r="R47" s="127">
        <f t="shared" si="8"/>
        <v>2.3057014575146613</v>
      </c>
      <c r="S47" s="127">
        <f t="shared" si="9"/>
        <v>1.6405330901064086</v>
      </c>
      <c r="T47" s="127">
        <f t="shared" si="10"/>
        <v>1.2587181027375562</v>
      </c>
      <c r="U47" s="127">
        <f t="shared" si="11"/>
        <v>1.0097712013350235</v>
      </c>
    </row>
    <row r="48" spans="1:21">
      <c r="A48" s="128"/>
      <c r="B48" s="120">
        <v>-22</v>
      </c>
      <c r="C48" s="121">
        <v>138.97692252807428</v>
      </c>
      <c r="D48" s="121">
        <v>136.67405345173714</v>
      </c>
      <c r="E48" s="121">
        <v>134.1403117735203</v>
      </c>
      <c r="F48" s="121">
        <v>131.36308846448469</v>
      </c>
      <c r="G48" s="122">
        <v>128.32978666444038</v>
      </c>
      <c r="H48" s="128"/>
      <c r="I48" s="123">
        <v>-22</v>
      </c>
      <c r="J48" s="124">
        <v>38.512500118154662</v>
      </c>
      <c r="K48" s="125">
        <v>65.527994528226714</v>
      </c>
      <c r="L48" s="125">
        <v>92.543488938298765</v>
      </c>
      <c r="M48" s="125">
        <v>119.55898334837082</v>
      </c>
      <c r="N48" s="125">
        <v>146.57447775844275</v>
      </c>
      <c r="O48" s="129"/>
      <c r="P48" s="126">
        <v>-22</v>
      </c>
      <c r="Q48" s="127">
        <f t="shared" si="12"/>
        <v>4.1960680872775882</v>
      </c>
      <c r="R48" s="127">
        <f t="shared" si="8"/>
        <v>2.4252736423770562</v>
      </c>
      <c r="S48" s="127">
        <f t="shared" si="9"/>
        <v>1.6854465776343255</v>
      </c>
      <c r="T48" s="127">
        <f t="shared" si="10"/>
        <v>1.2775934773483999</v>
      </c>
      <c r="U48" s="127">
        <f t="shared" si="11"/>
        <v>1.0180536506080695</v>
      </c>
    </row>
    <row r="49" spans="1:21">
      <c r="A49" s="128"/>
      <c r="B49" s="120">
        <v>-20</v>
      </c>
      <c r="C49" s="121">
        <v>152.83088523828675</v>
      </c>
      <c r="D49" s="121">
        <v>150.50568431645081</v>
      </c>
      <c r="E49" s="121">
        <v>147.94737192847313</v>
      </c>
      <c r="F49" s="121">
        <v>145.14321677060147</v>
      </c>
      <c r="G49" s="122">
        <v>142.08049982583788</v>
      </c>
      <c r="H49" s="128"/>
      <c r="I49" s="123">
        <v>-20</v>
      </c>
      <c r="J49" s="124">
        <v>38.434577682534211</v>
      </c>
      <c r="K49" s="125">
        <v>68.93699274820051</v>
      </c>
      <c r="L49" s="125">
        <v>99.439407813866808</v>
      </c>
      <c r="M49" s="125">
        <v>129.94182287953316</v>
      </c>
      <c r="N49" s="125">
        <v>160.44423794519935</v>
      </c>
      <c r="O49" s="116" t="s">
        <v>9</v>
      </c>
      <c r="P49" s="126">
        <v>-20</v>
      </c>
      <c r="Q49" s="127">
        <f t="shared" si="12"/>
        <v>4.6237097527204831</v>
      </c>
      <c r="R49" s="127">
        <f t="shared" si="8"/>
        <v>2.5386458372143004</v>
      </c>
      <c r="S49" s="127">
        <f t="shared" si="9"/>
        <v>1.7300166162073238</v>
      </c>
      <c r="T49" s="127">
        <f t="shared" si="10"/>
        <v>1.2988211074109828</v>
      </c>
      <c r="U49" s="127">
        <f t="shared" si="11"/>
        <v>1.0297028153472518</v>
      </c>
    </row>
    <row r="50" spans="1:21">
      <c r="A50" s="102"/>
      <c r="B50" s="130">
        <v>-18</v>
      </c>
      <c r="C50" s="131">
        <v>167.66170950318332</v>
      </c>
      <c r="D50" s="131">
        <v>165.31258241735381</v>
      </c>
      <c r="E50" s="131">
        <v>162.72794516378423</v>
      </c>
      <c r="F50" s="131">
        <v>159.89493543444718</v>
      </c>
      <c r="G50" s="132">
        <v>156.80070333449942</v>
      </c>
      <c r="H50" s="102"/>
      <c r="I50" s="133">
        <v>-18</v>
      </c>
      <c r="J50" s="134">
        <v>38.656414465592412</v>
      </c>
      <c r="K50" s="135">
        <v>72.645750186852993</v>
      </c>
      <c r="L50" s="135">
        <v>106.6350859081136</v>
      </c>
      <c r="M50" s="135">
        <v>140.62442162937424</v>
      </c>
      <c r="N50" s="135">
        <v>174.61375735063473</v>
      </c>
      <c r="O50" s="136"/>
      <c r="P50" s="137">
        <v>-18</v>
      </c>
      <c r="Q50" s="138">
        <f t="shared" si="12"/>
        <v>5.0432891633035348</v>
      </c>
      <c r="R50" s="138">
        <f t="shared" si="8"/>
        <v>2.6460451237548406</v>
      </c>
      <c r="S50" s="138">
        <f t="shared" si="9"/>
        <v>1.7744491813057566</v>
      </c>
      <c r="T50" s="138">
        <f t="shared" si="10"/>
        <v>1.3221341028405713</v>
      </c>
      <c r="U50" s="138">
        <f t="shared" si="11"/>
        <v>1.0441697263294092</v>
      </c>
    </row>
    <row r="51" spans="1:21">
      <c r="B51" s="62"/>
      <c r="C51" s="95"/>
      <c r="D51" s="8"/>
      <c r="E51" s="8"/>
      <c r="F51" s="8"/>
      <c r="G51" s="92"/>
      <c r="H51" s="93"/>
      <c r="I51" s="36"/>
      <c r="K51" s="8"/>
      <c r="L51" s="8"/>
      <c r="M51" s="96"/>
      <c r="N51" s="8"/>
    </row>
    <row r="52" spans="1:21" hidden="1">
      <c r="B52" s="62"/>
      <c r="C52" s="95"/>
      <c r="D52" s="8"/>
      <c r="E52" s="8"/>
      <c r="F52" s="8"/>
      <c r="G52" s="92"/>
      <c r="H52" s="93"/>
      <c r="I52" s="36"/>
      <c r="K52" s="8"/>
      <c r="L52" s="8"/>
      <c r="M52" s="96"/>
      <c r="N52" s="8"/>
    </row>
    <row r="53" spans="1:21" hidden="1">
      <c r="B53" s="62"/>
      <c r="C53" s="95"/>
      <c r="D53" s="8"/>
      <c r="E53" s="8"/>
      <c r="F53" s="8"/>
      <c r="G53" s="92"/>
      <c r="H53" s="93"/>
      <c r="I53" s="36"/>
      <c r="K53" s="8"/>
      <c r="L53" s="8"/>
      <c r="M53" s="96"/>
      <c r="N53" s="8"/>
    </row>
    <row r="54" spans="1:21" hidden="1">
      <c r="B54" s="62"/>
      <c r="C54" s="95"/>
      <c r="D54" s="8"/>
      <c r="E54" s="8"/>
      <c r="F54" s="8"/>
      <c r="G54" s="92"/>
      <c r="H54" s="93"/>
      <c r="I54" s="36"/>
      <c r="K54" s="8"/>
      <c r="L54" s="8"/>
      <c r="M54" s="96"/>
      <c r="N54" s="8"/>
    </row>
    <row r="55" spans="1:21" hidden="1">
      <c r="B55" s="62"/>
      <c r="C55" s="8"/>
      <c r="D55" s="8"/>
      <c r="E55" s="8"/>
      <c r="F55" s="8"/>
      <c r="G55" s="36"/>
      <c r="H55" s="93"/>
      <c r="I55" s="36"/>
      <c r="K55" s="8"/>
      <c r="L55" s="8"/>
      <c r="M55" s="8"/>
      <c r="N55" s="8"/>
    </row>
    <row r="56" spans="1:21">
      <c r="B56" s="139"/>
      <c r="C56" s="139"/>
      <c r="D56" s="139"/>
      <c r="E56" s="139"/>
      <c r="F56" s="8"/>
      <c r="G56" s="36"/>
      <c r="H56" s="93"/>
      <c r="I56" s="36"/>
      <c r="K56" s="8"/>
      <c r="L56" s="8"/>
      <c r="M56" s="8"/>
      <c r="N56" s="8"/>
    </row>
    <row r="57" spans="1:21" ht="18" customHeight="1">
      <c r="A57" s="140"/>
      <c r="B57" s="141"/>
      <c r="C57" s="202" t="s">
        <v>25</v>
      </c>
      <c r="D57" s="202"/>
      <c r="E57" s="202"/>
      <c r="F57" s="202"/>
      <c r="G57" s="203"/>
      <c r="H57" s="97"/>
      <c r="I57" s="98"/>
      <c r="J57" s="202" t="s">
        <v>15</v>
      </c>
      <c r="K57" s="202"/>
      <c r="L57" s="202"/>
      <c r="M57" s="202"/>
      <c r="N57" s="203"/>
      <c r="O57" s="97"/>
      <c r="P57" s="98"/>
      <c r="Q57" s="202" t="s">
        <v>23</v>
      </c>
      <c r="R57" s="202"/>
      <c r="S57" s="202"/>
      <c r="T57" s="202"/>
      <c r="U57" s="203"/>
    </row>
    <row r="58" spans="1:21">
      <c r="A58" s="100"/>
      <c r="B58" s="101"/>
      <c r="C58" s="205" t="s">
        <v>10</v>
      </c>
      <c r="D58" s="205"/>
      <c r="E58" s="205"/>
      <c r="F58" s="205"/>
      <c r="G58" s="205"/>
      <c r="H58" s="100"/>
      <c r="I58" s="101"/>
      <c r="J58" s="204" t="s">
        <v>10</v>
      </c>
      <c r="K58" s="205"/>
      <c r="L58" s="205"/>
      <c r="M58" s="205"/>
      <c r="N58" s="206"/>
      <c r="O58" s="100"/>
      <c r="P58" s="101"/>
      <c r="Q58" s="204" t="s">
        <v>10</v>
      </c>
      <c r="R58" s="205"/>
      <c r="S58" s="205"/>
      <c r="T58" s="205"/>
      <c r="U58" s="206"/>
    </row>
    <row r="59" spans="1:21">
      <c r="A59" s="39"/>
      <c r="B59" s="108"/>
      <c r="C59" s="142">
        <v>35</v>
      </c>
      <c r="D59" s="142">
        <v>40</v>
      </c>
      <c r="E59" s="142">
        <v>45</v>
      </c>
      <c r="F59" s="142">
        <v>50</v>
      </c>
      <c r="G59" s="26">
        <v>55</v>
      </c>
      <c r="H59" s="39"/>
      <c r="I59" s="108"/>
      <c r="J59" s="143">
        <v>35</v>
      </c>
      <c r="K59" s="48">
        <v>40</v>
      </c>
      <c r="L59" s="48">
        <v>45</v>
      </c>
      <c r="M59" s="48">
        <v>50</v>
      </c>
      <c r="N59" s="48">
        <v>55</v>
      </c>
      <c r="O59" s="39"/>
      <c r="P59" s="108"/>
      <c r="Q59" s="48">
        <v>35</v>
      </c>
      <c r="R59" s="48">
        <v>40</v>
      </c>
      <c r="S59" s="48">
        <v>45</v>
      </c>
      <c r="T59" s="48">
        <v>50</v>
      </c>
      <c r="U59" s="48">
        <v>55</v>
      </c>
    </row>
    <row r="60" spans="1:21">
      <c r="A60" s="109"/>
      <c r="B60" s="110">
        <v>-32</v>
      </c>
      <c r="C60" s="144">
        <v>62.476263413475145</v>
      </c>
      <c r="D60" s="144">
        <v>57.767940874796238</v>
      </c>
      <c r="E60" s="144">
        <v>53.028234897389858</v>
      </c>
      <c r="F60" s="144">
        <v>48.277263211955741</v>
      </c>
      <c r="G60" s="145">
        <v>43.538198966605357</v>
      </c>
      <c r="H60" s="109"/>
      <c r="I60" s="113">
        <v>-32</v>
      </c>
      <c r="J60" s="146">
        <f>J43</f>
        <v>43.398500576436064</v>
      </c>
      <c r="K60" s="146">
        <f>K43</f>
        <v>52.979391708536653</v>
      </c>
      <c r="L60" s="146">
        <f>L43</f>
        <v>62.560282840637299</v>
      </c>
      <c r="M60" s="146">
        <f>M43</f>
        <v>72.141173972737946</v>
      </c>
      <c r="N60" s="146">
        <f>N43</f>
        <v>81.722065104838478</v>
      </c>
      <c r="O60" s="101"/>
      <c r="P60" s="117">
        <v>-32</v>
      </c>
      <c r="Q60" s="118">
        <f>C60/J60/0.86</f>
        <v>1.6739476469859955</v>
      </c>
      <c r="R60" s="118">
        <f t="shared" ref="R60:U67" si="13">D60/K60/0.86</f>
        <v>1.2678896851546022</v>
      </c>
      <c r="S60" s="118">
        <f t="shared" si="13"/>
        <v>0.98562115535586936</v>
      </c>
      <c r="T60" s="118">
        <f t="shared" si="13"/>
        <v>0.77814581438964969</v>
      </c>
      <c r="U60" s="118">
        <f t="shared" si="13"/>
        <v>0.61948768287879841</v>
      </c>
    </row>
    <row r="61" spans="1:21">
      <c r="A61" s="119" t="s">
        <v>6</v>
      </c>
      <c r="B61" s="120">
        <v>-30</v>
      </c>
      <c r="C61" s="147">
        <v>70.522730541379474</v>
      </c>
      <c r="D61" s="147">
        <v>65.419405736560819</v>
      </c>
      <c r="E61" s="147">
        <v>60.277175752878257</v>
      </c>
      <c r="F61" s="147">
        <v>55.115961510221574</v>
      </c>
      <c r="G61" s="148">
        <v>49.958762191997046</v>
      </c>
      <c r="H61" s="119" t="s">
        <v>6</v>
      </c>
      <c r="I61" s="123">
        <v>-30</v>
      </c>
      <c r="J61" s="149">
        <f t="shared" ref="J61:N67" si="14">J44</f>
        <v>41.82178204742258</v>
      </c>
      <c r="K61" s="149">
        <f t="shared" si="14"/>
        <v>54.889593835117417</v>
      </c>
      <c r="L61" s="149">
        <f t="shared" si="14"/>
        <v>67.95740562281236</v>
      </c>
      <c r="M61" s="149">
        <f t="shared" si="14"/>
        <v>81.025217410507253</v>
      </c>
      <c r="N61" s="149">
        <f t="shared" si="14"/>
        <v>94.093029198202089</v>
      </c>
      <c r="O61" s="101" t="s">
        <v>6</v>
      </c>
      <c r="P61" s="126">
        <v>-30</v>
      </c>
      <c r="Q61" s="127">
        <f t="shared" ref="Q61:Q67" si="15">C61/J61/0.86</f>
        <v>1.9607766822353621</v>
      </c>
      <c r="R61" s="127">
        <f t="shared" si="13"/>
        <v>1.3858560634710642</v>
      </c>
      <c r="S61" s="127">
        <f t="shared" si="13"/>
        <v>1.0313775019098832</v>
      </c>
      <c r="T61" s="127">
        <f t="shared" si="13"/>
        <v>0.79096766890200343</v>
      </c>
      <c r="U61" s="127">
        <f t="shared" si="13"/>
        <v>0.61738456545825193</v>
      </c>
    </row>
    <row r="62" spans="1:21">
      <c r="A62" s="119" t="s">
        <v>7</v>
      </c>
      <c r="B62" s="120">
        <v>-28</v>
      </c>
      <c r="C62" s="147">
        <v>79.31518254647267</v>
      </c>
      <c r="D62" s="147">
        <v>73.786671569777013</v>
      </c>
      <c r="E62" s="147">
        <v>68.211244481622018</v>
      </c>
      <c r="F62" s="147">
        <v>62.608615677281094</v>
      </c>
      <c r="G62" s="148">
        <v>57.001602474535694</v>
      </c>
      <c r="H62" s="119" t="s">
        <v>7</v>
      </c>
      <c r="I62" s="123">
        <v>-28</v>
      </c>
      <c r="J62" s="149">
        <f t="shared" si="14"/>
        <v>40.544822737087657</v>
      </c>
      <c r="K62" s="149">
        <f t="shared" si="14"/>
        <v>57.099555180376797</v>
      </c>
      <c r="L62" s="149">
        <f t="shared" si="14"/>
        <v>73.65428762366605</v>
      </c>
      <c r="M62" s="149">
        <f t="shared" si="14"/>
        <v>90.209020066955247</v>
      </c>
      <c r="N62" s="149">
        <f t="shared" si="14"/>
        <v>106.76375251024433</v>
      </c>
      <c r="O62" s="101" t="s">
        <v>7</v>
      </c>
      <c r="P62" s="126">
        <v>-28</v>
      </c>
      <c r="Q62" s="127">
        <f t="shared" si="15"/>
        <v>2.2746913224268175</v>
      </c>
      <c r="R62" s="127">
        <f t="shared" si="13"/>
        <v>1.5026116235521965</v>
      </c>
      <c r="S62" s="127">
        <f t="shared" si="13"/>
        <v>1.0768606026750922</v>
      </c>
      <c r="T62" s="127">
        <f t="shared" si="13"/>
        <v>0.807022577673284</v>
      </c>
      <c r="U62" s="127">
        <f t="shared" si="13"/>
        <v>0.62081869128349865</v>
      </c>
    </row>
    <row r="63" spans="1:21">
      <c r="A63" s="119" t="s">
        <v>8</v>
      </c>
      <c r="B63" s="120">
        <v>-26</v>
      </c>
      <c r="C63" s="147">
        <v>88.906902477565538</v>
      </c>
      <c r="D63" s="147">
        <v>82.921264724809134</v>
      </c>
      <c r="E63" s="147">
        <v>76.880181316893172</v>
      </c>
      <c r="F63" s="147">
        <v>70.803149801609962</v>
      </c>
      <c r="G63" s="148">
        <v>64.712797228121516</v>
      </c>
      <c r="H63" s="119" t="s">
        <v>8</v>
      </c>
      <c r="I63" s="123">
        <v>-26</v>
      </c>
      <c r="J63" s="149">
        <f t="shared" si="14"/>
        <v>39.567622645431356</v>
      </c>
      <c r="K63" s="149">
        <f t="shared" si="14"/>
        <v>59.6092757443148</v>
      </c>
      <c r="L63" s="149">
        <f t="shared" si="14"/>
        <v>79.650928843198301</v>
      </c>
      <c r="M63" s="149">
        <f t="shared" si="14"/>
        <v>99.692581942081802</v>
      </c>
      <c r="N63" s="149">
        <f t="shared" si="14"/>
        <v>119.73423504096519</v>
      </c>
      <c r="O63" s="101" t="s">
        <v>8</v>
      </c>
      <c r="P63" s="126">
        <v>-26</v>
      </c>
      <c r="Q63" s="127">
        <f t="shared" si="15"/>
        <v>2.6127452762668475</v>
      </c>
      <c r="R63" s="127">
        <f t="shared" si="13"/>
        <v>1.6175347554126589</v>
      </c>
      <c r="S63" s="127">
        <f t="shared" si="13"/>
        <v>1.1223417098724751</v>
      </c>
      <c r="T63" s="127">
        <f t="shared" si="13"/>
        <v>0.82583119377117831</v>
      </c>
      <c r="U63" s="127">
        <f t="shared" si="13"/>
        <v>0.62845383036527414</v>
      </c>
    </row>
    <row r="64" spans="1:21">
      <c r="A64" s="119" t="s">
        <v>5</v>
      </c>
      <c r="B64" s="120">
        <v>-24</v>
      </c>
      <c r="C64" s="147">
        <v>99.353952472805332</v>
      </c>
      <c r="D64" s="147">
        <v>92.877422319461644</v>
      </c>
      <c r="E64" s="147">
        <v>86.336367677556197</v>
      </c>
      <c r="F64" s="147">
        <v>79.750058286859314</v>
      </c>
      <c r="G64" s="148">
        <v>73.140921998628045</v>
      </c>
      <c r="H64" s="119" t="s">
        <v>5</v>
      </c>
      <c r="I64" s="123">
        <v>-24</v>
      </c>
      <c r="J64" s="149">
        <f t="shared" si="14"/>
        <v>38.89018177245373</v>
      </c>
      <c r="K64" s="149">
        <f t="shared" si="14"/>
        <v>62.41875552693142</v>
      </c>
      <c r="L64" s="149">
        <f t="shared" si="14"/>
        <v>85.947329281409225</v>
      </c>
      <c r="M64" s="149">
        <f t="shared" si="14"/>
        <v>109.47590303588703</v>
      </c>
      <c r="N64" s="149">
        <f t="shared" si="14"/>
        <v>133.00447679036466</v>
      </c>
      <c r="O64" s="101" t="s">
        <v>5</v>
      </c>
      <c r="P64" s="126">
        <v>-24</v>
      </c>
      <c r="Q64" s="127">
        <f t="shared" si="15"/>
        <v>2.970617427002971</v>
      </c>
      <c r="R64" s="127">
        <f t="shared" si="13"/>
        <v>1.7302011516466658</v>
      </c>
      <c r="S64" s="127">
        <f t="shared" si="13"/>
        <v>1.168054040140788</v>
      </c>
      <c r="T64" s="127">
        <f t="shared" si="13"/>
        <v>0.8470597030339565</v>
      </c>
      <c r="U64" s="127">
        <f t="shared" si="13"/>
        <v>0.63943399328868389</v>
      </c>
    </row>
    <row r="65" spans="1:21">
      <c r="A65" s="128"/>
      <c r="B65" s="120">
        <v>-22</v>
      </c>
      <c r="C65" s="147">
        <v>110.71529101056518</v>
      </c>
      <c r="D65" s="147">
        <v>103.7122067917462</v>
      </c>
      <c r="E65" s="147">
        <v>96.6349379708345</v>
      </c>
      <c r="F65" s="147">
        <v>89.502514851700084</v>
      </c>
      <c r="G65" s="148">
        <v>82.337156607060649</v>
      </c>
      <c r="H65" s="128"/>
      <c r="I65" s="123">
        <v>-22</v>
      </c>
      <c r="J65" s="149">
        <f t="shared" si="14"/>
        <v>38.512500118154662</v>
      </c>
      <c r="K65" s="149">
        <f t="shared" si="14"/>
        <v>65.527994528226714</v>
      </c>
      <c r="L65" s="149">
        <f t="shared" si="14"/>
        <v>92.543488938298765</v>
      </c>
      <c r="M65" s="149">
        <f t="shared" si="14"/>
        <v>119.55898334837082</v>
      </c>
      <c r="N65" s="149">
        <f t="shared" si="14"/>
        <v>146.57447775844275</v>
      </c>
      <c r="O65" s="150"/>
      <c r="P65" s="126">
        <v>-22</v>
      </c>
      <c r="Q65" s="127">
        <f t="shared" si="15"/>
        <v>3.3427772822443793</v>
      </c>
      <c r="R65" s="127">
        <f t="shared" si="13"/>
        <v>1.8403674667745342</v>
      </c>
      <c r="S65" s="127">
        <f t="shared" si="13"/>
        <v>1.2141989483209172</v>
      </c>
      <c r="T65" s="127">
        <f t="shared" si="13"/>
        <v>0.87047153441223635</v>
      </c>
      <c r="U65" s="127">
        <f t="shared" si="13"/>
        <v>0.65318929488825828</v>
      </c>
    </row>
    <row r="66" spans="1:21">
      <c r="A66" s="128"/>
      <c r="B66" s="120">
        <v>-20</v>
      </c>
      <c r="C66" s="147">
        <v>123.05290047470842</v>
      </c>
      <c r="D66" s="147">
        <v>115.4856303758213</v>
      </c>
      <c r="E66" s="147">
        <v>107.83390092056119</v>
      </c>
      <c r="F66" s="147">
        <v>100.11649065086745</v>
      </c>
      <c r="G66" s="148">
        <v>92.355400002957097</v>
      </c>
      <c r="H66" s="128"/>
      <c r="I66" s="123">
        <v>-20</v>
      </c>
      <c r="J66" s="149">
        <f t="shared" si="14"/>
        <v>38.434577682534211</v>
      </c>
      <c r="K66" s="149">
        <f t="shared" si="14"/>
        <v>68.93699274820051</v>
      </c>
      <c r="L66" s="149">
        <f t="shared" si="14"/>
        <v>99.439407813866808</v>
      </c>
      <c r="M66" s="149">
        <f t="shared" si="14"/>
        <v>129.94182287953316</v>
      </c>
      <c r="N66" s="149">
        <f t="shared" si="14"/>
        <v>160.44423794519935</v>
      </c>
      <c r="O66" s="101" t="s">
        <v>9</v>
      </c>
      <c r="P66" s="126">
        <v>-20</v>
      </c>
      <c r="Q66" s="127">
        <f t="shared" si="15"/>
        <v>3.7228135866540013</v>
      </c>
      <c r="R66" s="127">
        <f t="shared" si="13"/>
        <v>1.947947123347306</v>
      </c>
      <c r="S66" s="127">
        <f t="shared" si="13"/>
        <v>1.260951363659349</v>
      </c>
      <c r="T66" s="127">
        <f t="shared" si="13"/>
        <v>0.89589726719904861</v>
      </c>
      <c r="U66" s="127">
        <f t="shared" si="13"/>
        <v>0.66932911632587366</v>
      </c>
    </row>
    <row r="67" spans="1:21">
      <c r="A67" s="102"/>
      <c r="B67" s="130">
        <v>-18</v>
      </c>
      <c r="C67" s="151">
        <v>136.4319267039476</v>
      </c>
      <c r="D67" s="151">
        <v>128.26079111406074</v>
      </c>
      <c r="E67" s="151">
        <v>119.99427197614187</v>
      </c>
      <c r="F67" s="151">
        <v>111.65088301392503</v>
      </c>
      <c r="G67" s="152">
        <v>103.25239526484405</v>
      </c>
      <c r="H67" s="102"/>
      <c r="I67" s="133">
        <v>-18</v>
      </c>
      <c r="J67" s="153">
        <f t="shared" si="14"/>
        <v>38.656414465592412</v>
      </c>
      <c r="K67" s="153">
        <f t="shared" si="14"/>
        <v>72.645750186852993</v>
      </c>
      <c r="L67" s="153">
        <f t="shared" si="14"/>
        <v>106.6350859081136</v>
      </c>
      <c r="M67" s="153">
        <f t="shared" si="14"/>
        <v>140.62442162937424</v>
      </c>
      <c r="N67" s="153">
        <f t="shared" si="14"/>
        <v>174.61375735063473</v>
      </c>
      <c r="O67" s="47"/>
      <c r="P67" s="137">
        <v>-18</v>
      </c>
      <c r="Q67" s="138">
        <f t="shared" si="15"/>
        <v>4.1038926509429219</v>
      </c>
      <c r="R67" s="138">
        <f t="shared" si="13"/>
        <v>2.0529825130883173</v>
      </c>
      <c r="S67" s="138">
        <f t="shared" si="13"/>
        <v>1.3084644893361088</v>
      </c>
      <c r="T67" s="138">
        <f t="shared" si="13"/>
        <v>0.9232152328270129</v>
      </c>
      <c r="U67" s="138">
        <f t="shared" si="13"/>
        <v>0.68757998538152654</v>
      </c>
    </row>
    <row r="68" spans="1:21">
      <c r="B68" s="62"/>
      <c r="C68" s="154"/>
      <c r="D68" s="154"/>
      <c r="E68" s="154"/>
      <c r="F68" s="154"/>
      <c r="G68" s="154"/>
      <c r="I68" s="155"/>
      <c r="J68" s="156"/>
      <c r="K68" s="156"/>
      <c r="L68" s="156"/>
      <c r="M68" s="156"/>
      <c r="N68" s="156"/>
    </row>
    <row r="69" spans="1:21">
      <c r="B69" s="62"/>
    </row>
    <row r="70" spans="1:21">
      <c r="A70" s="62"/>
      <c r="B70" s="62"/>
      <c r="C70" s="62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97"/>
      <c r="P70" s="98"/>
      <c r="Q70" s="202" t="s">
        <v>24</v>
      </c>
      <c r="R70" s="202"/>
      <c r="S70" s="202"/>
      <c r="T70" s="202"/>
      <c r="U70" s="203"/>
    </row>
    <row r="71" spans="1:21">
      <c r="A71" s="109"/>
      <c r="B71" s="109"/>
      <c r="C71" s="109"/>
      <c r="D71" s="202" t="s">
        <v>14</v>
      </c>
      <c r="E71" s="202"/>
      <c r="F71" s="203"/>
      <c r="G71" s="207" t="s">
        <v>13</v>
      </c>
      <c r="H71" s="202"/>
      <c r="I71" s="203"/>
      <c r="J71" s="214"/>
      <c r="K71" s="214"/>
      <c r="L71" s="214"/>
      <c r="M71" s="214"/>
      <c r="N71" s="214"/>
      <c r="O71" s="100"/>
      <c r="P71" s="101"/>
      <c r="Q71" s="204" t="s">
        <v>10</v>
      </c>
      <c r="R71" s="205"/>
      <c r="S71" s="205"/>
      <c r="T71" s="205"/>
      <c r="U71" s="206"/>
    </row>
    <row r="72" spans="1:21">
      <c r="A72" s="157" t="s">
        <v>16</v>
      </c>
      <c r="B72" s="157" t="s">
        <v>17</v>
      </c>
      <c r="C72" s="157"/>
      <c r="D72" s="106">
        <f>M26</f>
        <v>37.799999999999997</v>
      </c>
      <c r="E72" s="106">
        <f>N26</f>
        <v>46.1</v>
      </c>
      <c r="F72" s="106">
        <f>D72</f>
        <v>37.799999999999997</v>
      </c>
      <c r="G72" s="106">
        <f>E72</f>
        <v>46.1</v>
      </c>
      <c r="H72" s="106">
        <f>N26</f>
        <v>46.1</v>
      </c>
      <c r="I72" s="106"/>
      <c r="J72" s="158"/>
      <c r="K72" s="158"/>
      <c r="L72" s="158"/>
      <c r="M72" s="158"/>
      <c r="N72" s="158"/>
      <c r="O72" s="39"/>
      <c r="P72" s="108"/>
      <c r="Q72" s="48">
        <v>35</v>
      </c>
      <c r="R72" s="48">
        <v>40</v>
      </c>
      <c r="S72" s="48">
        <v>45</v>
      </c>
      <c r="T72" s="48">
        <v>50</v>
      </c>
      <c r="U72" s="48">
        <v>55</v>
      </c>
    </row>
    <row r="73" spans="1:21">
      <c r="A73" s="14">
        <v>5.1623720242323508</v>
      </c>
      <c r="B73" s="14">
        <v>0.38299443021526902</v>
      </c>
      <c r="C73" s="14">
        <v>13.478974149391011</v>
      </c>
      <c r="D73" s="14">
        <v>0.75025112426646601</v>
      </c>
      <c r="E73" s="14"/>
      <c r="F73" s="14"/>
      <c r="G73" s="14">
        <v>0.75394297232697327</v>
      </c>
      <c r="H73" s="14"/>
      <c r="I73" s="14"/>
      <c r="J73" s="159"/>
      <c r="K73" s="159"/>
      <c r="L73" s="159"/>
      <c r="M73" s="159"/>
      <c r="N73" s="159"/>
      <c r="O73" s="119"/>
      <c r="P73" s="117">
        <v>-32</v>
      </c>
      <c r="Q73" s="160">
        <f t="shared" ref="Q73:T80" si="16">Q60/$U$60</f>
        <v>2.7021483933418255</v>
      </c>
      <c r="R73" s="160">
        <f t="shared" si="16"/>
        <v>2.0466745670594109</v>
      </c>
      <c r="S73" s="160">
        <f t="shared" si="16"/>
        <v>1.5910262344129678</v>
      </c>
      <c r="T73" s="160">
        <f t="shared" si="16"/>
        <v>1.2561118419232435</v>
      </c>
      <c r="U73" s="160">
        <f>U60/$U$60</f>
        <v>1</v>
      </c>
    </row>
    <row r="74" spans="1:21">
      <c r="A74" s="14">
        <v>6.3983727391430625</v>
      </c>
      <c r="B74" s="14">
        <v>0.38299443021526902</v>
      </c>
      <c r="C74" s="14">
        <v>16.70617699465431</v>
      </c>
      <c r="D74" s="14"/>
      <c r="E74" s="14">
        <v>0.71365351130151711</v>
      </c>
      <c r="F74" s="14"/>
      <c r="G74" s="14"/>
      <c r="H74" s="14">
        <v>0.71172866867027018</v>
      </c>
      <c r="I74" s="14"/>
      <c r="J74" s="159"/>
      <c r="K74" s="159"/>
      <c r="L74" s="159"/>
      <c r="M74" s="159"/>
      <c r="N74" s="159"/>
      <c r="O74" s="119" t="s">
        <v>6</v>
      </c>
      <c r="P74" s="126">
        <v>-30</v>
      </c>
      <c r="Q74" s="161">
        <f t="shared" si="16"/>
        <v>3.1651584630763101</v>
      </c>
      <c r="R74" s="161">
        <f t="shared" si="16"/>
        <v>2.2371002713579444</v>
      </c>
      <c r="S74" s="161">
        <f t="shared" si="16"/>
        <v>1.6648878265295071</v>
      </c>
      <c r="T74" s="161">
        <f t="shared" si="16"/>
        <v>1.276809355153482</v>
      </c>
      <c r="U74" s="161">
        <f t="shared" ref="U74:U80" si="17">U61/$U$60</f>
        <v>0.99660506983646047</v>
      </c>
    </row>
    <row r="75" spans="1:21">
      <c r="A75" s="14">
        <v>7.8357768265329844</v>
      </c>
      <c r="B75" s="14">
        <v>0.38299443021526902</v>
      </c>
      <c r="C75" s="14">
        <v>20.459244856716957</v>
      </c>
      <c r="D75" s="14"/>
      <c r="E75" s="14"/>
      <c r="F75" s="14">
        <v>0.65875708653727427</v>
      </c>
      <c r="G75" s="14"/>
      <c r="H75" s="14"/>
      <c r="I75" s="14">
        <v>0.66263564478245807</v>
      </c>
      <c r="J75" s="159"/>
      <c r="K75" s="159"/>
      <c r="L75" s="159"/>
      <c r="M75" s="159"/>
      <c r="N75" s="159"/>
      <c r="O75" s="119" t="s">
        <v>7</v>
      </c>
      <c r="P75" s="126">
        <v>-28</v>
      </c>
      <c r="Q75" s="161">
        <f t="shared" si="16"/>
        <v>3.671891121153827</v>
      </c>
      <c r="R75" s="161">
        <f t="shared" si="16"/>
        <v>2.425571427941013</v>
      </c>
      <c r="S75" s="161">
        <f t="shared" si="16"/>
        <v>1.7383083351566457</v>
      </c>
      <c r="T75" s="161">
        <f t="shared" si="16"/>
        <v>1.3027257845111611</v>
      </c>
      <c r="U75" s="161">
        <f t="shared" si="17"/>
        <v>1.0021485631457836</v>
      </c>
    </row>
    <row r="76" spans="1:21">
      <c r="A76" s="14">
        <v>5.1623720242323508</v>
      </c>
      <c r="B76" s="14">
        <v>0.63991786377017368</v>
      </c>
      <c r="C76" s="14">
        <v>8.0672416203814787</v>
      </c>
      <c r="D76" s="14">
        <v>0.81948874395969551</v>
      </c>
      <c r="E76" s="14"/>
      <c r="F76" s="14"/>
      <c r="G76" s="14">
        <v>0.82047700684967217</v>
      </c>
      <c r="H76" s="14"/>
      <c r="I76" s="14"/>
      <c r="J76" s="159"/>
      <c r="K76" s="159"/>
      <c r="L76" s="159"/>
      <c r="M76" s="159"/>
      <c r="N76" s="159"/>
      <c r="O76" s="119" t="s">
        <v>8</v>
      </c>
      <c r="P76" s="126">
        <v>-26</v>
      </c>
      <c r="Q76" s="161">
        <f t="shared" si="16"/>
        <v>4.2175903548642886</v>
      </c>
      <c r="R76" s="161">
        <f t="shared" si="16"/>
        <v>2.611084610909248</v>
      </c>
      <c r="S76" s="161">
        <f t="shared" si="16"/>
        <v>1.8117256256926404</v>
      </c>
      <c r="T76" s="161">
        <f t="shared" si="16"/>
        <v>1.3330873503949079</v>
      </c>
      <c r="U76" s="161">
        <f t="shared" si="17"/>
        <v>1.0144734879066675</v>
      </c>
    </row>
    <row r="77" spans="1:21">
      <c r="A77" s="14">
        <v>6.3983727391430625</v>
      </c>
      <c r="B77" s="14">
        <v>0.63991786377017368</v>
      </c>
      <c r="C77" s="14">
        <v>9.9987406218761787</v>
      </c>
      <c r="D77" s="14"/>
      <c r="E77" s="14">
        <v>0.80309897187428991</v>
      </c>
      <c r="F77" s="14"/>
      <c r="G77" s="14"/>
      <c r="H77" s="14">
        <v>0.79419261174080924</v>
      </c>
      <c r="I77" s="14"/>
      <c r="J77" s="159"/>
      <c r="K77" s="159"/>
      <c r="L77" s="159"/>
      <c r="M77" s="159"/>
      <c r="N77" s="159"/>
      <c r="O77" s="119" t="s">
        <v>5</v>
      </c>
      <c r="P77" s="126">
        <v>-24</v>
      </c>
      <c r="Q77" s="161">
        <f t="shared" si="16"/>
        <v>4.7952808572372643</v>
      </c>
      <c r="R77" s="161">
        <f t="shared" si="16"/>
        <v>2.7929548875069021</v>
      </c>
      <c r="S77" s="161">
        <f t="shared" si="16"/>
        <v>1.8855161650878465</v>
      </c>
      <c r="T77" s="161">
        <f t="shared" si="16"/>
        <v>1.3673551976007279</v>
      </c>
      <c r="U77" s="161">
        <f t="shared" si="17"/>
        <v>1.0321980742493437</v>
      </c>
    </row>
    <row r="78" spans="1:21">
      <c r="A78" s="14">
        <v>7.8357768265329844</v>
      </c>
      <c r="B78" s="14">
        <v>0.63991786377017368</v>
      </c>
      <c r="C78" s="14">
        <v>12.244972785049804</v>
      </c>
      <c r="D78" s="14"/>
      <c r="E78" s="14"/>
      <c r="F78" s="14">
        <v>0.77031942135395981</v>
      </c>
      <c r="G78" s="14"/>
      <c r="H78" s="14"/>
      <c r="I78" s="14">
        <v>0.76362523705544705</v>
      </c>
      <c r="J78" s="159"/>
      <c r="K78" s="159"/>
      <c r="L78" s="159"/>
      <c r="M78" s="159"/>
      <c r="N78" s="159"/>
      <c r="O78" s="128"/>
      <c r="P78" s="126">
        <v>-22</v>
      </c>
      <c r="Q78" s="161">
        <f t="shared" si="16"/>
        <v>5.3960351022804556</v>
      </c>
      <c r="R78" s="161">
        <f t="shared" si="16"/>
        <v>2.970789440432827</v>
      </c>
      <c r="S78" s="161">
        <f t="shared" si="16"/>
        <v>1.9600049877964612</v>
      </c>
      <c r="T78" s="161">
        <f t="shared" si="16"/>
        <v>1.4051474443641883</v>
      </c>
      <c r="U78" s="161">
        <f t="shared" si="17"/>
        <v>1.054402392397612</v>
      </c>
    </row>
    <row r="79" spans="1:21">
      <c r="A79" s="14">
        <v>5.1623720242323508</v>
      </c>
      <c r="B79" s="14">
        <v>1.0168283285879745</v>
      </c>
      <c r="C79" s="14">
        <v>5.0769356823497569</v>
      </c>
      <c r="D79" s="14">
        <v>0.85637336918624485</v>
      </c>
      <c r="E79" s="14"/>
      <c r="F79" s="14"/>
      <c r="G79" s="14">
        <v>0.85724104081623032</v>
      </c>
      <c r="H79" s="14"/>
      <c r="I79" s="14"/>
      <c r="J79" s="159"/>
      <c r="K79" s="159"/>
      <c r="L79" s="159"/>
      <c r="M79" s="159"/>
      <c r="N79" s="159"/>
      <c r="O79" s="119" t="s">
        <v>9</v>
      </c>
      <c r="P79" s="126">
        <v>-20</v>
      </c>
      <c r="Q79" s="161">
        <f t="shared" si="16"/>
        <v>6.0095038037783919</v>
      </c>
      <c r="R79" s="161">
        <f t="shared" si="16"/>
        <v>3.144448513156989</v>
      </c>
      <c r="S79" s="161">
        <f t="shared" si="16"/>
        <v>2.0354744710978405</v>
      </c>
      <c r="T79" s="161">
        <f t="shared" si="16"/>
        <v>1.4461906054947815</v>
      </c>
      <c r="U79" s="161">
        <f t="shared" si="17"/>
        <v>1.0804558909314532</v>
      </c>
    </row>
    <row r="80" spans="1:21">
      <c r="A80" s="14">
        <v>6.3983727391430625</v>
      </c>
      <c r="B80" s="14">
        <v>1.0168283285879745</v>
      </c>
      <c r="C80" s="14">
        <v>6.2924808045308946</v>
      </c>
      <c r="D80" s="14"/>
      <c r="E80" s="14">
        <v>0.83924590212101469</v>
      </c>
      <c r="F80" s="14"/>
      <c r="G80" s="14"/>
      <c r="H80" s="14">
        <v>0.83975887306571528</v>
      </c>
      <c r="I80" s="14"/>
      <c r="J80" s="159"/>
      <c r="K80" s="159"/>
      <c r="L80" s="159"/>
      <c r="M80" s="159"/>
      <c r="N80" s="159"/>
      <c r="O80" s="102"/>
      <c r="P80" s="137">
        <v>-18</v>
      </c>
      <c r="Q80" s="162">
        <f t="shared" si="16"/>
        <v>6.6246557669587123</v>
      </c>
      <c r="R80" s="162">
        <f t="shared" si="16"/>
        <v>3.314000535971882</v>
      </c>
      <c r="S80" s="162">
        <f t="shared" si="16"/>
        <v>2.1121719212488483</v>
      </c>
      <c r="T80" s="162">
        <f t="shared" si="16"/>
        <v>1.4902882790772747</v>
      </c>
      <c r="U80" s="162">
        <f t="shared" si="17"/>
        <v>1.1099171208478253</v>
      </c>
    </row>
    <row r="81" spans="1:9">
      <c r="A81" s="14">
        <v>7.8357768265329844</v>
      </c>
      <c r="B81" s="14">
        <v>1.0168283285879745</v>
      </c>
      <c r="C81" s="14">
        <v>7.7060961090788931</v>
      </c>
      <c r="D81" s="14"/>
      <c r="E81" s="14"/>
      <c r="F81" s="14">
        <v>0.81184195242793622</v>
      </c>
      <c r="G81" s="14"/>
      <c r="H81" s="14"/>
      <c r="I81" s="14">
        <v>0.81942802772082246</v>
      </c>
    </row>
    <row r="82" spans="1:9">
      <c r="A82" s="14"/>
      <c r="B82" s="14"/>
      <c r="C82" s="14"/>
      <c r="D82" s="14"/>
      <c r="E82" s="14"/>
      <c r="F82" s="14"/>
      <c r="G82" s="14"/>
      <c r="H82" s="14"/>
      <c r="I82" s="14"/>
    </row>
    <row r="83" spans="1:9">
      <c r="A83" s="14"/>
      <c r="B83" s="14"/>
      <c r="C83" s="14"/>
      <c r="D83" s="14"/>
      <c r="E83" s="14"/>
      <c r="F83" s="14"/>
      <c r="G83" s="14"/>
      <c r="H83" s="14"/>
      <c r="I83" s="14"/>
    </row>
    <row r="84" spans="1:9">
      <c r="A84" s="14"/>
      <c r="B84" s="14"/>
      <c r="C84" s="14"/>
      <c r="D84" s="14"/>
      <c r="E84" s="14"/>
      <c r="F84" s="14"/>
      <c r="G84" s="14"/>
      <c r="H84" s="14"/>
      <c r="I84" s="14"/>
    </row>
    <row r="85" spans="1:9">
      <c r="A85" s="14"/>
      <c r="B85" s="14"/>
      <c r="C85" s="14"/>
      <c r="D85" s="14"/>
      <c r="E85" s="14"/>
      <c r="F85" s="14"/>
      <c r="G85" s="14"/>
      <c r="H85" s="14"/>
      <c r="I85" s="14"/>
    </row>
    <row r="86" spans="1:9">
      <c r="A86" s="14"/>
      <c r="B86" s="14"/>
      <c r="C86" s="14"/>
      <c r="D86" s="14"/>
      <c r="E86" s="14"/>
      <c r="F86" s="14"/>
      <c r="G86" s="14"/>
      <c r="H86" s="14"/>
      <c r="I86" s="14"/>
    </row>
    <row r="87" spans="1:9">
      <c r="A87" s="14"/>
      <c r="B87" s="14"/>
      <c r="C87" s="14"/>
      <c r="D87" s="14"/>
      <c r="E87" s="14"/>
      <c r="F87" s="14"/>
      <c r="G87" s="14"/>
      <c r="H87" s="14"/>
      <c r="I87" s="14"/>
    </row>
    <row r="88" spans="1:9">
      <c r="A88" s="1">
        <v>4.7878318380820248</v>
      </c>
      <c r="B88" s="1">
        <v>1.1086403483853422</v>
      </c>
      <c r="C88" s="1">
        <v>4.3186519821826526</v>
      </c>
      <c r="D88" s="1">
        <v>0.87548918516073793</v>
      </c>
      <c r="G88" s="1">
        <v>0.86845515962791453</v>
      </c>
    </row>
    <row r="89" spans="1:9">
      <c r="A89" s="1">
        <v>6.2233594418684053</v>
      </c>
      <c r="B89" s="1">
        <v>1.1086403483853422</v>
      </c>
      <c r="C89" s="1">
        <v>5.6135061753185305</v>
      </c>
      <c r="D89" s="159"/>
      <c r="E89" s="159">
        <v>0.79285372664203291</v>
      </c>
      <c r="F89" s="159"/>
      <c r="G89" s="159"/>
      <c r="H89" s="159">
        <v>0.79692236588216037</v>
      </c>
      <c r="I89" s="159"/>
    </row>
    <row r="90" spans="1:9" hidden="1">
      <c r="A90" s="1">
        <v>7.9479491617924891</v>
      </c>
      <c r="B90" s="1">
        <v>1.1086403483853422</v>
      </c>
      <c r="C90" s="1">
        <v>7.1690960674199946</v>
      </c>
      <c r="D90" s="159"/>
      <c r="E90" s="159"/>
      <c r="F90" s="159">
        <v>0.70798487686147449</v>
      </c>
      <c r="G90" s="159"/>
      <c r="H90" s="159"/>
      <c r="I90" s="159">
        <v>0.71098551562167944</v>
      </c>
    </row>
    <row r="91" spans="1:9" hidden="1">
      <c r="D91" s="159"/>
      <c r="E91" s="159"/>
      <c r="F91" s="159"/>
      <c r="G91" s="159"/>
      <c r="H91" s="159"/>
      <c r="I91" s="159"/>
    </row>
    <row r="92" spans="1:9" hidden="1">
      <c r="D92" s="159"/>
      <c r="E92" s="159"/>
      <c r="F92" s="159"/>
      <c r="G92" s="159"/>
      <c r="H92" s="159"/>
      <c r="I92" s="159"/>
    </row>
    <row r="93" spans="1:9" hidden="1">
      <c r="D93" s="159"/>
      <c r="E93" s="159"/>
      <c r="F93" s="159"/>
      <c r="G93" s="159"/>
      <c r="H93" s="159"/>
      <c r="I93" s="159"/>
    </row>
    <row r="94" spans="1:9" hidden="1">
      <c r="D94" s="159"/>
      <c r="E94" s="159"/>
      <c r="F94" s="159"/>
      <c r="G94" s="159"/>
      <c r="H94" s="159"/>
      <c r="I94" s="159"/>
    </row>
    <row r="95" spans="1:9" hidden="1">
      <c r="D95" s="159"/>
      <c r="E95" s="159"/>
      <c r="F95" s="159"/>
      <c r="G95" s="159"/>
      <c r="H95" s="159"/>
      <c r="I95" s="159"/>
    </row>
    <row r="96" spans="1:9" hidden="1">
      <c r="D96" s="159"/>
      <c r="E96" s="159"/>
      <c r="F96" s="159"/>
      <c r="G96" s="159"/>
      <c r="H96" s="159"/>
      <c r="I96" s="159"/>
    </row>
    <row r="97" spans="2:17" hidden="1">
      <c r="D97" s="159"/>
      <c r="E97" s="159"/>
      <c r="F97" s="159"/>
      <c r="G97" s="159"/>
      <c r="H97" s="159"/>
      <c r="I97" s="159"/>
    </row>
    <row r="98" spans="2:17" hidden="1">
      <c r="D98" s="159"/>
      <c r="E98" s="159"/>
      <c r="F98" s="159"/>
      <c r="G98" s="159"/>
      <c r="H98" s="159"/>
      <c r="I98" s="159"/>
    </row>
    <row r="99" spans="2:17" hidden="1"/>
    <row r="100" spans="2:17" hidden="1"/>
    <row r="102" spans="2:17" ht="15" thickBot="1">
      <c r="D102" s="1" t="s">
        <v>38</v>
      </c>
      <c r="L102" s="1" t="s">
        <v>37</v>
      </c>
    </row>
    <row r="103" spans="2:17" ht="15" thickBot="1">
      <c r="B103" s="163"/>
      <c r="C103" s="199" t="s">
        <v>20</v>
      </c>
      <c r="D103" s="200"/>
      <c r="E103" s="201"/>
      <c r="F103" s="199" t="s">
        <v>39</v>
      </c>
      <c r="G103" s="200"/>
      <c r="H103" s="201"/>
      <c r="K103" s="163"/>
      <c r="L103" s="199" t="s">
        <v>20</v>
      </c>
      <c r="M103" s="200"/>
      <c r="N103" s="201"/>
      <c r="O103" s="199" t="s">
        <v>40</v>
      </c>
      <c r="P103" s="200"/>
      <c r="Q103" s="201"/>
    </row>
    <row r="104" spans="2:17" ht="15" thickBot="1">
      <c r="B104" s="164"/>
      <c r="C104" s="165">
        <v>37.799999999999997</v>
      </c>
      <c r="D104" s="166">
        <v>46.1</v>
      </c>
      <c r="E104" s="167">
        <v>54.4</v>
      </c>
      <c r="F104" s="168">
        <v>37.799999999999997</v>
      </c>
      <c r="G104" s="168">
        <v>46.1</v>
      </c>
      <c r="H104" s="169">
        <v>54.4</v>
      </c>
      <c r="K104" s="164"/>
      <c r="L104" s="168">
        <v>40.5</v>
      </c>
      <c r="M104" s="168">
        <v>54.4</v>
      </c>
      <c r="N104" s="169">
        <v>65</v>
      </c>
      <c r="O104" s="165">
        <v>40.5</v>
      </c>
      <c r="P104" s="166">
        <v>54.4</v>
      </c>
      <c r="Q104" s="167">
        <v>65</v>
      </c>
    </row>
    <row r="105" spans="2:17">
      <c r="B105" s="170">
        <v>-34.4</v>
      </c>
      <c r="C105" s="171">
        <f t="shared" ref="C105:D105" si="18">IF(C27="","",C27)</f>
        <v>70.901692777405742</v>
      </c>
      <c r="D105" s="172">
        <f t="shared" si="18"/>
        <v>66.931809512306984</v>
      </c>
      <c r="E105" s="173">
        <f t="shared" ref="E105" si="19">IF(E27="","",E27)</f>
        <v>62.315043224978375</v>
      </c>
      <c r="F105" s="174">
        <f>IF(C14="","",C14)</f>
        <v>70.554507000000001</v>
      </c>
      <c r="G105" s="175">
        <f t="shared" ref="G105:H109" si="20">IF(D14="","",D14)</f>
        <v>67.112824000000003</v>
      </c>
      <c r="H105" s="176">
        <f t="shared" si="20"/>
        <v>61.950299000000001</v>
      </c>
      <c r="K105" s="170">
        <v>-30</v>
      </c>
      <c r="L105" s="174">
        <f t="shared" ref="L105:N109" si="21">IF(H27="","",H27)</f>
        <v>48.708333333325022</v>
      </c>
      <c r="M105" s="175">
        <f t="shared" si="21"/>
        <v>57.666666666668227</v>
      </c>
      <c r="N105" s="176">
        <f t="shared" si="21"/>
        <v>66.625000000011255</v>
      </c>
      <c r="O105" s="171">
        <f>IF(H14="","",H14)</f>
        <v>49.7</v>
      </c>
      <c r="P105" s="172">
        <f t="shared" ref="P105:Q109" si="22">IF(I14="","",I14)</f>
        <v>51.3</v>
      </c>
      <c r="Q105" s="173">
        <f t="shared" si="22"/>
        <v>72</v>
      </c>
    </row>
    <row r="106" spans="2:17">
      <c r="B106" s="177">
        <v>-23.3</v>
      </c>
      <c r="C106" s="178">
        <f t="shared" ref="C106:D106" si="23">IF(C28="","",C28)</f>
        <v>129.21876574114629</v>
      </c>
      <c r="D106" s="179">
        <f t="shared" si="23"/>
        <v>125.07917734821743</v>
      </c>
      <c r="E106" s="180">
        <f t="shared" ref="E106:E109" si="24">IF(E28="","",E28)</f>
        <v>120.2650528866975</v>
      </c>
      <c r="F106" s="181">
        <f t="shared" ref="F106:F109" si="25">IF(C15="","",C15)</f>
        <v>129.06312199999999</v>
      </c>
      <c r="G106" s="182">
        <f t="shared" si="20"/>
        <v>126.48186</v>
      </c>
      <c r="H106" s="183">
        <f t="shared" si="20"/>
        <v>121.319335</v>
      </c>
      <c r="K106" s="177">
        <v>-20</v>
      </c>
      <c r="L106" s="181">
        <f t="shared" si="21"/>
        <v>52.583333333328426</v>
      </c>
      <c r="M106" s="182">
        <f t="shared" si="21"/>
        <v>93.666666666661683</v>
      </c>
      <c r="N106" s="183">
        <f t="shared" si="21"/>
        <v>134.74999999999494</v>
      </c>
      <c r="O106" s="178">
        <f t="shared" ref="O106:O109" si="26">IF(H15="","",H15)</f>
        <v>67.599999999999994</v>
      </c>
      <c r="P106" s="179">
        <f t="shared" si="22"/>
        <v>72.400000000000006</v>
      </c>
      <c r="Q106" s="180">
        <f t="shared" si="22"/>
        <v>141</v>
      </c>
    </row>
    <row r="107" spans="2:17">
      <c r="B107" s="177">
        <v>-12.2</v>
      </c>
      <c r="C107" s="178">
        <f t="shared" ref="C107:D107" si="27">IF(C29="","",C29)</f>
        <v>215.32314711884123</v>
      </c>
      <c r="D107" s="179">
        <f t="shared" si="27"/>
        <v>210.93194884523064</v>
      </c>
      <c r="E107" s="180">
        <f t="shared" si="24"/>
        <v>205.8252152722784</v>
      </c>
      <c r="F107" s="181">
        <f t="shared" si="25"/>
        <v>215.10520399999999</v>
      </c>
      <c r="G107" s="182">
        <f t="shared" si="20"/>
        <v>210.8031</v>
      </c>
      <c r="H107" s="183">
        <f t="shared" si="20"/>
        <v>203.91973300000001</v>
      </c>
      <c r="K107" s="177">
        <v>-15</v>
      </c>
      <c r="L107" s="181">
        <f t="shared" si="21"/>
        <v>65.691666666679779</v>
      </c>
      <c r="M107" s="182">
        <f t="shared" si="21"/>
        <v>138.90000000000327</v>
      </c>
      <c r="N107" s="183">
        <f t="shared" si="21"/>
        <v>212.10833333332664</v>
      </c>
      <c r="O107" s="178">
        <f t="shared" si="26"/>
        <v>86.2</v>
      </c>
      <c r="P107" s="179">
        <f t="shared" si="22"/>
        <v>93.5</v>
      </c>
      <c r="Q107" s="180">
        <f t="shared" si="22"/>
        <v>237</v>
      </c>
    </row>
    <row r="108" spans="2:17">
      <c r="B108" s="177">
        <v>-20</v>
      </c>
      <c r="C108" s="178" t="str">
        <f t="shared" ref="C108:D108" si="28">IF(C30="","",C30)</f>
        <v/>
      </c>
      <c r="D108" s="179" t="str">
        <f t="shared" si="28"/>
        <v/>
      </c>
      <c r="E108" s="180" t="str">
        <f t="shared" si="24"/>
        <v/>
      </c>
      <c r="F108" s="181" t="str">
        <f t="shared" si="25"/>
        <v/>
      </c>
      <c r="G108" s="182" t="str">
        <f t="shared" si="20"/>
        <v/>
      </c>
      <c r="H108" s="183" t="str">
        <f t="shared" si="20"/>
        <v/>
      </c>
      <c r="K108" s="177">
        <v>-10</v>
      </c>
      <c r="L108" s="181" t="str">
        <f t="shared" si="21"/>
        <v/>
      </c>
      <c r="M108" s="182" t="str">
        <f t="shared" si="21"/>
        <v/>
      </c>
      <c r="N108" s="183" t="str">
        <f t="shared" si="21"/>
        <v/>
      </c>
      <c r="O108" s="178" t="str">
        <f t="shared" si="26"/>
        <v/>
      </c>
      <c r="P108" s="179" t="str">
        <f t="shared" si="22"/>
        <v/>
      </c>
      <c r="Q108" s="180" t="str">
        <f t="shared" si="22"/>
        <v/>
      </c>
    </row>
    <row r="109" spans="2:17" ht="15" thickBot="1">
      <c r="B109" s="184">
        <v>-15</v>
      </c>
      <c r="C109" s="185" t="str">
        <f t="shared" ref="C109:D109" si="29">IF(C31="","",C31)</f>
        <v/>
      </c>
      <c r="D109" s="186" t="str">
        <f t="shared" si="29"/>
        <v/>
      </c>
      <c r="E109" s="187" t="str">
        <f t="shared" si="24"/>
        <v/>
      </c>
      <c r="F109" s="188" t="str">
        <f t="shared" si="25"/>
        <v/>
      </c>
      <c r="G109" s="189" t="str">
        <f t="shared" si="20"/>
        <v/>
      </c>
      <c r="H109" s="190" t="str">
        <f t="shared" si="20"/>
        <v/>
      </c>
      <c r="K109" s="184"/>
      <c r="L109" s="188" t="str">
        <f t="shared" si="21"/>
        <v/>
      </c>
      <c r="M109" s="189" t="str">
        <f t="shared" si="21"/>
        <v/>
      </c>
      <c r="N109" s="190" t="str">
        <f t="shared" si="21"/>
        <v/>
      </c>
      <c r="O109" s="185" t="str">
        <f t="shared" si="26"/>
        <v/>
      </c>
      <c r="P109" s="186" t="str">
        <f t="shared" si="22"/>
        <v/>
      </c>
      <c r="Q109" s="187" t="str">
        <f t="shared" si="22"/>
        <v/>
      </c>
    </row>
    <row r="110" spans="2:17">
      <c r="B110" s="154">
        <v>-10</v>
      </c>
      <c r="C110" s="45"/>
      <c r="D110" s="45"/>
      <c r="E110" s="45"/>
    </row>
  </sheetData>
  <mergeCells count="47">
    <mergeCell ref="K14:K19"/>
    <mergeCell ref="Q14:Q19"/>
    <mergeCell ref="A27:A32"/>
    <mergeCell ref="F27:F32"/>
    <mergeCell ref="K27:K32"/>
    <mergeCell ref="Q24:U24"/>
    <mergeCell ref="Q27:Q32"/>
    <mergeCell ref="B4:C4"/>
    <mergeCell ref="C58:G58"/>
    <mergeCell ref="C40:G40"/>
    <mergeCell ref="A14:A19"/>
    <mergeCell ref="F14:F19"/>
    <mergeCell ref="J57:N57"/>
    <mergeCell ref="I41:M41"/>
    <mergeCell ref="I40:N40"/>
    <mergeCell ref="C103:E103"/>
    <mergeCell ref="F103:H103"/>
    <mergeCell ref="D70:F70"/>
    <mergeCell ref="G70:I70"/>
    <mergeCell ref="L103:N103"/>
    <mergeCell ref="D3:E3"/>
    <mergeCell ref="R4:S4"/>
    <mergeCell ref="F24:J24"/>
    <mergeCell ref="C41:G41"/>
    <mergeCell ref="D71:F71"/>
    <mergeCell ref="G71:I71"/>
    <mergeCell ref="K11:O11"/>
    <mergeCell ref="J58:N58"/>
    <mergeCell ref="K24:O24"/>
    <mergeCell ref="A11:E11"/>
    <mergeCell ref="F11:J11"/>
    <mergeCell ref="C57:G57"/>
    <mergeCell ref="A24:E24"/>
    <mergeCell ref="J70:N70"/>
    <mergeCell ref="J71:N71"/>
    <mergeCell ref="R5:S5"/>
    <mergeCell ref="R6:S6"/>
    <mergeCell ref="R7:S7"/>
    <mergeCell ref="R8:S8"/>
    <mergeCell ref="O103:Q103"/>
    <mergeCell ref="Q70:U70"/>
    <mergeCell ref="Q71:U71"/>
    <mergeCell ref="Q11:U11"/>
    <mergeCell ref="Q41:U41"/>
    <mergeCell ref="Q40:U40"/>
    <mergeCell ref="Q57:U57"/>
    <mergeCell ref="Q58:U58"/>
  </mergeCells>
  <phoneticPr fontId="2"/>
  <printOptions gridLinesSet="0"/>
  <pageMargins left="0.47" right="0.28000000000000003" top="0.69" bottom="0.42" header="0.38" footer="0.21"/>
  <pageSetup paperSize="9" scale="72" orientation="landscape" horizontalDpi="4294967292" r:id="rId1"/>
  <headerFooter alignWithMargins="0">
    <oddFooter>&amp;C- &amp;P / &amp;N -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Line="0" autoPict="0" macro="[0]!Record2">
                <anchor moveWithCells="1" sizeWithCells="1">
                  <from>
                    <xdr:col>5</xdr:col>
                    <xdr:colOff>91440</xdr:colOff>
                    <xdr:row>7</xdr:row>
                    <xdr:rowOff>45720</xdr:rowOff>
                  </from>
                  <to>
                    <xdr:col>6</xdr:col>
                    <xdr:colOff>579120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topLeftCell="A27" workbookViewId="0">
      <selection activeCell="H35" sqref="H35"/>
    </sheetView>
  </sheetViews>
  <sheetFormatPr defaultRowHeight="13.2"/>
  <sheetData/>
  <phoneticPr fontId="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9</vt:i4>
      </vt:variant>
    </vt:vector>
  </HeadingPairs>
  <TitlesOfParts>
    <vt:vector size="11" baseType="lpstr">
      <vt:lpstr>DATA</vt:lpstr>
      <vt:lpstr>Sheet1</vt:lpstr>
      <vt:lpstr>Volumetric efficiency</vt:lpstr>
      <vt:lpstr>Cooling capacity</vt:lpstr>
      <vt:lpstr>Input</vt:lpstr>
      <vt:lpstr>入力Ｗ</vt:lpstr>
      <vt:lpstr>冷凍能力</vt:lpstr>
      <vt:lpstr>COP</vt:lpstr>
      <vt:lpstr>冷蔵庫条件冷凍能力</vt:lpstr>
      <vt:lpstr>冷蔵庫条件COP</vt:lpstr>
      <vt:lpstr>冷蔵庫条件ＣＯＰ　比較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シャープ(株)</dc:creator>
  <cp:lastModifiedBy>Office</cp:lastModifiedBy>
  <cp:lastPrinted>2010-03-09T11:32:41Z</cp:lastPrinted>
  <dcterms:created xsi:type="dcterms:W3CDTF">1997-11-22T08:36:05Z</dcterms:created>
  <dcterms:modified xsi:type="dcterms:W3CDTF">2026-05-23T08:21:33Z</dcterms:modified>
</cp:coreProperties>
</file>