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0324005L.win.sharp.co.jp\DDdrive\02_個人フォルダ\(う)浦久保\DATA\冷蔵海外\El Araby\model13. BOTTOM FREEZER\内容積\20210422_PV_GV_73K_J_volume ELA用\"/>
    </mc:Choice>
  </mc:AlternateContent>
  <bookViews>
    <workbookView xWindow="0" yWindow="0" windowWidth="28800" windowHeight="13755" tabRatio="776"/>
  </bookViews>
  <sheets>
    <sheet name="73, IEC62552.2015 COVER" sheetId="68" r:id="rId1"/>
    <sheet name="73, IEC62552.2015" sheetId="71" r:id="rId2"/>
    <sheet name="73, IEC62552.2007 COVER" sheetId="70" r:id="rId3"/>
    <sheet name="73, IEC62552 2007" sheetId="72" r:id="rId4"/>
    <sheet name="SIGN" sheetId="69" r:id="rId5"/>
  </sheets>
  <externalReferences>
    <externalReference r:id="rId6"/>
    <externalReference r:id="rId7"/>
  </externalReferences>
  <definedNames>
    <definedName name="No.1">[1]Variables!$B$1</definedName>
    <definedName name="_xlnm.Print_Area" localSheetId="3">'73, IEC62552 2007'!$C$7:$K$183</definedName>
    <definedName name="_xlnm.Print_Area" localSheetId="2">'73, IEC62552.2007 COVER'!$A$1:$AA$61</definedName>
    <definedName name="_xlnm.Print_Area" localSheetId="1">'73, IEC62552.2015'!$C$7:$K$183</definedName>
    <definedName name="_xlnm.Print_Area" localSheetId="0">'73, IEC62552.2015 COVER'!$A$1:$AA$61</definedName>
    <definedName name="RecD">[1]Variables!$B$5</definedName>
    <definedName name="room">'[2]プルダウンメニュー(削除不可）'!$B$84:$B$89</definedName>
  </definedNames>
  <calcPr calcId="152511"/>
</workbook>
</file>

<file path=xl/calcChain.xml><?xml version="1.0" encoding="utf-8"?>
<calcChain xmlns="http://schemas.openxmlformats.org/spreadsheetml/2006/main">
  <c r="G90" i="72" l="1"/>
  <c r="G102" i="71" l="1"/>
  <c r="G102" i="72"/>
  <c r="F157" i="71"/>
  <c r="I157" i="71" s="1"/>
  <c r="K157" i="71" s="1"/>
  <c r="I159" i="72"/>
  <c r="J159" i="72" s="1"/>
  <c r="F157" i="72"/>
  <c r="I157" i="72" s="1"/>
  <c r="K157" i="72" s="1"/>
  <c r="I95" i="72"/>
  <c r="K95" i="72" s="1"/>
  <c r="I95" i="71"/>
  <c r="K95" i="71" s="1"/>
  <c r="K93" i="71"/>
  <c r="K92" i="71"/>
  <c r="I94" i="71"/>
  <c r="K94" i="71" s="1"/>
  <c r="I93" i="71"/>
  <c r="I92" i="71"/>
  <c r="I94" i="72"/>
  <c r="K94" i="72" s="1"/>
  <c r="I93" i="72"/>
  <c r="J93" i="72" s="1"/>
  <c r="I92" i="72"/>
  <c r="K92" i="72" s="1"/>
  <c r="I96" i="72"/>
  <c r="J96" i="72"/>
  <c r="K96" i="72"/>
  <c r="J95" i="72" l="1"/>
  <c r="J94" i="72"/>
  <c r="K93" i="72"/>
  <c r="J92" i="72"/>
  <c r="G70" i="72"/>
  <c r="F162" i="72" l="1"/>
  <c r="F160" i="72"/>
  <c r="F156" i="72"/>
  <c r="F162" i="71"/>
  <c r="F160" i="71"/>
  <c r="F156" i="71"/>
  <c r="I78" i="72" l="1"/>
  <c r="K78" i="72"/>
  <c r="G90" i="71" l="1"/>
  <c r="F113" i="72" l="1"/>
  <c r="I181" i="72"/>
  <c r="K181" i="72" s="1"/>
  <c r="I180" i="72"/>
  <c r="K180" i="72" s="1"/>
  <c r="I179" i="72"/>
  <c r="K179" i="72" s="1"/>
  <c r="I178" i="72"/>
  <c r="K178" i="72" s="1"/>
  <c r="I177" i="72"/>
  <c r="K177" i="72" s="1"/>
  <c r="I176" i="72"/>
  <c r="K176" i="72" s="1"/>
  <c r="I175" i="72"/>
  <c r="K175" i="72" s="1"/>
  <c r="I174" i="72"/>
  <c r="K174" i="72" s="1"/>
  <c r="I173" i="72"/>
  <c r="K173" i="72" s="1"/>
  <c r="I172" i="72"/>
  <c r="K172" i="72" s="1"/>
  <c r="F171" i="72"/>
  <c r="I171" i="72" s="1"/>
  <c r="K171" i="72" s="1"/>
  <c r="I170" i="72"/>
  <c r="K170" i="72" s="1"/>
  <c r="I169" i="72"/>
  <c r="K169" i="72" s="1"/>
  <c r="I168" i="72"/>
  <c r="K168" i="72" s="1"/>
  <c r="I167" i="72"/>
  <c r="J167" i="72" s="1"/>
  <c r="I166" i="72"/>
  <c r="I165" i="72"/>
  <c r="I164" i="72"/>
  <c r="J164" i="72" s="1"/>
  <c r="I163" i="72"/>
  <c r="J163" i="72" s="1"/>
  <c r="I162" i="72"/>
  <c r="K162" i="72" s="1"/>
  <c r="I161" i="72"/>
  <c r="I160" i="72"/>
  <c r="I158" i="72"/>
  <c r="J158" i="72" s="1"/>
  <c r="I156" i="72"/>
  <c r="K156" i="72" s="1"/>
  <c r="I155" i="72"/>
  <c r="J155" i="72" s="1"/>
  <c r="I154" i="72"/>
  <c r="K154" i="72" s="1"/>
  <c r="I153" i="72"/>
  <c r="J153" i="72" s="1"/>
  <c r="I152" i="72"/>
  <c r="J152" i="72" s="1"/>
  <c r="I151" i="72"/>
  <c r="J151" i="72" s="1"/>
  <c r="I150" i="72"/>
  <c r="J150" i="72" s="1"/>
  <c r="I149" i="72"/>
  <c r="J149" i="72" s="1"/>
  <c r="I148" i="72"/>
  <c r="J148" i="72" s="1"/>
  <c r="I147" i="72"/>
  <c r="J147" i="72" s="1"/>
  <c r="I146" i="72"/>
  <c r="J146" i="72" s="1"/>
  <c r="I145" i="72"/>
  <c r="J145" i="72" s="1"/>
  <c r="J144" i="72"/>
  <c r="I144" i="72"/>
  <c r="K144" i="72" s="1"/>
  <c r="H143" i="72"/>
  <c r="I143" i="72" s="1"/>
  <c r="K143" i="72" s="1"/>
  <c r="I142" i="72"/>
  <c r="H141" i="72"/>
  <c r="I141" i="72" s="1"/>
  <c r="I140" i="72"/>
  <c r="K140" i="72" s="1"/>
  <c r="I139" i="72"/>
  <c r="J139" i="72" s="1"/>
  <c r="I138" i="72"/>
  <c r="K138" i="72" s="1"/>
  <c r="I137" i="72"/>
  <c r="K137" i="72" s="1"/>
  <c r="I136" i="72"/>
  <c r="I135" i="72"/>
  <c r="J135" i="72" s="1"/>
  <c r="I134" i="72"/>
  <c r="I133" i="72"/>
  <c r="I132" i="72"/>
  <c r="I131" i="72"/>
  <c r="K131" i="72" s="1"/>
  <c r="I130" i="72"/>
  <c r="K130" i="72" s="1"/>
  <c r="I129" i="72"/>
  <c r="I128" i="72"/>
  <c r="K128" i="72" s="1"/>
  <c r="I127" i="72"/>
  <c r="K127" i="72" s="1"/>
  <c r="I126" i="72"/>
  <c r="K126" i="72" s="1"/>
  <c r="I125" i="72"/>
  <c r="J125" i="72" s="1"/>
  <c r="I124" i="72"/>
  <c r="J124" i="72" s="1"/>
  <c r="I123" i="72"/>
  <c r="J123" i="72" s="1"/>
  <c r="I122" i="72"/>
  <c r="F121" i="72"/>
  <c r="I121" i="72" s="1"/>
  <c r="I120" i="72"/>
  <c r="J120" i="72" s="1"/>
  <c r="I119" i="72"/>
  <c r="I118" i="72"/>
  <c r="I117" i="72"/>
  <c r="I116" i="72"/>
  <c r="H115" i="72"/>
  <c r="F115" i="72"/>
  <c r="H114" i="72"/>
  <c r="I114" i="72" s="1"/>
  <c r="H113" i="72"/>
  <c r="H112" i="72"/>
  <c r="I112" i="72" s="1"/>
  <c r="I111" i="72"/>
  <c r="I110" i="72"/>
  <c r="I109" i="72"/>
  <c r="I108" i="72"/>
  <c r="K108" i="72" s="1"/>
  <c r="I107" i="72"/>
  <c r="J106" i="72"/>
  <c r="I106" i="72"/>
  <c r="I105" i="72"/>
  <c r="K105" i="72" s="1"/>
  <c r="I104" i="72"/>
  <c r="J104" i="72" s="1"/>
  <c r="I103" i="72"/>
  <c r="I102" i="72"/>
  <c r="I101" i="72"/>
  <c r="J101" i="72" s="1"/>
  <c r="I100" i="72"/>
  <c r="K100" i="72" s="1"/>
  <c r="I99" i="72"/>
  <c r="I98" i="72"/>
  <c r="J97" i="72"/>
  <c r="I97" i="72"/>
  <c r="K97" i="72" s="1"/>
  <c r="I91" i="72"/>
  <c r="K91" i="72" s="1"/>
  <c r="I90" i="72"/>
  <c r="I89" i="72"/>
  <c r="I88" i="72"/>
  <c r="I87" i="72"/>
  <c r="I86" i="72"/>
  <c r="I85" i="72"/>
  <c r="I77" i="72"/>
  <c r="K77" i="72" s="1"/>
  <c r="I76" i="72"/>
  <c r="K76" i="72" s="1"/>
  <c r="I75" i="72"/>
  <c r="K75" i="72" s="1"/>
  <c r="I74" i="72"/>
  <c r="K74" i="72" s="1"/>
  <c r="I73" i="72"/>
  <c r="K73" i="72" s="1"/>
  <c r="I72" i="72"/>
  <c r="K72" i="72" s="1"/>
  <c r="I71" i="72"/>
  <c r="K71" i="72" s="1"/>
  <c r="I70" i="72"/>
  <c r="K70" i="72" s="1"/>
  <c r="I69" i="72"/>
  <c r="K69" i="72" s="1"/>
  <c r="I68" i="72"/>
  <c r="K68" i="72" s="1"/>
  <c r="I67" i="72"/>
  <c r="K67" i="72" s="1"/>
  <c r="I66" i="72"/>
  <c r="K66" i="72" s="1"/>
  <c r="I65" i="72"/>
  <c r="K65" i="72" s="1"/>
  <c r="K64" i="72"/>
  <c r="I64" i="72"/>
  <c r="I63" i="72"/>
  <c r="K63" i="72" s="1"/>
  <c r="I62" i="72"/>
  <c r="K62" i="72" s="1"/>
  <c r="I61" i="72"/>
  <c r="K61" i="72" s="1"/>
  <c r="I60" i="72"/>
  <c r="K60" i="72" s="1"/>
  <c r="I59" i="72"/>
  <c r="K59" i="72" s="1"/>
  <c r="H58" i="72"/>
  <c r="I58" i="72" s="1"/>
  <c r="J54" i="72"/>
  <c r="I54" i="72"/>
  <c r="I53" i="72"/>
  <c r="J53" i="72" s="1"/>
  <c r="I52" i="72"/>
  <c r="J52" i="72" s="1"/>
  <c r="I51" i="72"/>
  <c r="I50" i="72"/>
  <c r="I49" i="72"/>
  <c r="J49" i="72" s="1"/>
  <c r="I48" i="72"/>
  <c r="J48" i="72" s="1"/>
  <c r="I47" i="72"/>
  <c r="J47" i="72" s="1"/>
  <c r="I46" i="72"/>
  <c r="J46" i="72" s="1"/>
  <c r="I45" i="72"/>
  <c r="I44" i="72"/>
  <c r="I43" i="72"/>
  <c r="J43" i="72" s="1"/>
  <c r="I42" i="72"/>
  <c r="I41" i="72"/>
  <c r="J41" i="72" s="1"/>
  <c r="I39" i="72"/>
  <c r="I36" i="72"/>
  <c r="J36" i="72" s="1"/>
  <c r="I35" i="72"/>
  <c r="I34" i="72"/>
  <c r="I33" i="72"/>
  <c r="I32" i="72"/>
  <c r="J32" i="72" s="1"/>
  <c r="I31" i="72"/>
  <c r="J31" i="72" s="1"/>
  <c r="I30" i="72"/>
  <c r="I29" i="72"/>
  <c r="I28" i="72"/>
  <c r="I27" i="72"/>
  <c r="I26" i="72"/>
  <c r="K26" i="72" s="1"/>
  <c r="I25" i="72"/>
  <c r="J25" i="72" s="1"/>
  <c r="I24" i="72"/>
  <c r="I23" i="72"/>
  <c r="I22" i="72"/>
  <c r="J22" i="72" s="1"/>
  <c r="I21" i="72"/>
  <c r="K21" i="72" s="1"/>
  <c r="I20" i="72"/>
  <c r="I19" i="72"/>
  <c r="K19" i="72" s="1"/>
  <c r="I18" i="72"/>
  <c r="K18" i="72" s="1"/>
  <c r="I17" i="72"/>
  <c r="K17" i="72" s="1"/>
  <c r="I16" i="72"/>
  <c r="K16" i="72" s="1"/>
  <c r="F113" i="71"/>
  <c r="I167" i="71"/>
  <c r="K167" i="71" s="1"/>
  <c r="I166" i="71"/>
  <c r="K166" i="71" s="1"/>
  <c r="I165" i="71"/>
  <c r="K165" i="71" s="1"/>
  <c r="I164" i="71"/>
  <c r="I163" i="71"/>
  <c r="K163" i="71" s="1"/>
  <c r="I162" i="71"/>
  <c r="I161" i="71"/>
  <c r="K161" i="71" s="1"/>
  <c r="I160" i="71"/>
  <c r="K160" i="71" s="1"/>
  <c r="I156" i="71"/>
  <c r="K156" i="71" s="1"/>
  <c r="I155" i="71"/>
  <c r="K155" i="71" s="1"/>
  <c r="I154" i="71"/>
  <c r="I144" i="71"/>
  <c r="H143" i="71"/>
  <c r="I143" i="71" s="1"/>
  <c r="I142" i="71"/>
  <c r="H141" i="71"/>
  <c r="I141" i="71" s="1"/>
  <c r="I140" i="71"/>
  <c r="K140" i="71" s="1"/>
  <c r="I139" i="71"/>
  <c r="K139" i="71" s="1"/>
  <c r="I138" i="71"/>
  <c r="K138" i="71" s="1"/>
  <c r="I137" i="71"/>
  <c r="I136" i="71"/>
  <c r="I135" i="71"/>
  <c r="K135" i="71" s="1"/>
  <c r="I134" i="71"/>
  <c r="K134" i="71" s="1"/>
  <c r="I133" i="71"/>
  <c r="K133" i="71" s="1"/>
  <c r="I132" i="71"/>
  <c r="K132" i="71" s="1"/>
  <c r="I131" i="71"/>
  <c r="K131" i="71" s="1"/>
  <c r="I130" i="71"/>
  <c r="I129" i="71"/>
  <c r="K129" i="71" s="1"/>
  <c r="I128" i="71"/>
  <c r="K128" i="71" s="1"/>
  <c r="I126" i="71"/>
  <c r="K126" i="71" s="1"/>
  <c r="I125" i="71"/>
  <c r="K125" i="71" s="1"/>
  <c r="I124" i="71"/>
  <c r="K124" i="71" s="1"/>
  <c r="I123" i="71"/>
  <c r="K123" i="71" s="1"/>
  <c r="I122" i="71"/>
  <c r="K122" i="71" s="1"/>
  <c r="F121" i="71"/>
  <c r="I121" i="71" s="1"/>
  <c r="I120" i="71"/>
  <c r="K120" i="71" s="1"/>
  <c r="I119" i="71"/>
  <c r="I118" i="71"/>
  <c r="I117" i="71"/>
  <c r="K117" i="71" s="1"/>
  <c r="I116" i="71"/>
  <c r="K116" i="71" s="1"/>
  <c r="H115" i="71"/>
  <c r="F115" i="71"/>
  <c r="H114" i="71"/>
  <c r="I114" i="71" s="1"/>
  <c r="H113" i="71"/>
  <c r="H112" i="71"/>
  <c r="I112" i="71" s="1"/>
  <c r="I111" i="71"/>
  <c r="K111" i="71" s="1"/>
  <c r="I110" i="71"/>
  <c r="K110" i="71" s="1"/>
  <c r="I109" i="71"/>
  <c r="K109" i="71" s="1"/>
  <c r="I108" i="71"/>
  <c r="I107" i="71"/>
  <c r="I106" i="71"/>
  <c r="K106" i="71" s="1"/>
  <c r="I105" i="71"/>
  <c r="K105" i="71" s="1"/>
  <c r="I104" i="71"/>
  <c r="K104" i="71" s="1"/>
  <c r="I103" i="71"/>
  <c r="K103" i="71" s="1"/>
  <c r="I102" i="71"/>
  <c r="I101" i="71"/>
  <c r="I100" i="71"/>
  <c r="K100" i="71" s="1"/>
  <c r="I99" i="71"/>
  <c r="I98" i="71"/>
  <c r="K98" i="71" s="1"/>
  <c r="I97" i="71"/>
  <c r="K97" i="71" s="1"/>
  <c r="I96" i="71"/>
  <c r="K96" i="71" s="1"/>
  <c r="I91" i="71"/>
  <c r="I90" i="71"/>
  <c r="I89" i="71"/>
  <c r="K89" i="71" s="1"/>
  <c r="I88" i="71"/>
  <c r="K88" i="71" s="1"/>
  <c r="I87" i="71"/>
  <c r="K87" i="71" s="1"/>
  <c r="I86" i="71"/>
  <c r="K86" i="71" s="1"/>
  <c r="I85" i="71"/>
  <c r="K85" i="71" s="1"/>
  <c r="H58" i="71"/>
  <c r="I58" i="71" s="1"/>
  <c r="I57" i="71"/>
  <c r="K57" i="71" s="1"/>
  <c r="I56" i="71"/>
  <c r="K56" i="71" s="1"/>
  <c r="G55" i="71"/>
  <c r="I55" i="71" s="1"/>
  <c r="K55" i="71" s="1"/>
  <c r="I53" i="71"/>
  <c r="K53" i="71" s="1"/>
  <c r="I51" i="71"/>
  <c r="K51" i="71" s="1"/>
  <c r="I50" i="71"/>
  <c r="I49" i="71"/>
  <c r="K49" i="71" s="1"/>
  <c r="I48" i="71"/>
  <c r="K48" i="71" s="1"/>
  <c r="I47" i="71"/>
  <c r="K47" i="71" s="1"/>
  <c r="I46" i="71"/>
  <c r="K46" i="71" s="1"/>
  <c r="I45" i="71"/>
  <c r="K45" i="71" s="1"/>
  <c r="I44" i="71"/>
  <c r="I43" i="71"/>
  <c r="K43" i="71" s="1"/>
  <c r="I42" i="71"/>
  <c r="K42" i="71" s="1"/>
  <c r="I41" i="71"/>
  <c r="K41" i="71" s="1"/>
  <c r="I40" i="71"/>
  <c r="K40" i="71" s="1"/>
  <c r="I39" i="71"/>
  <c r="K39" i="71" s="1"/>
  <c r="I38" i="71"/>
  <c r="K38" i="71" s="1"/>
  <c r="I37" i="71"/>
  <c r="K37" i="71" s="1"/>
  <c r="I36" i="71"/>
  <c r="I35" i="71"/>
  <c r="K35" i="71" s="1"/>
  <c r="I34" i="71"/>
  <c r="K34" i="71" s="1"/>
  <c r="I33" i="71"/>
  <c r="I30" i="71"/>
  <c r="K30" i="71" s="1"/>
  <c r="I29" i="71"/>
  <c r="I28" i="71"/>
  <c r="K28" i="71" s="1"/>
  <c r="I27" i="71"/>
  <c r="I26" i="71"/>
  <c r="K26" i="71" s="1"/>
  <c r="I25" i="71"/>
  <c r="K25" i="71" s="1"/>
  <c r="I24" i="71"/>
  <c r="K24" i="71" s="1"/>
  <c r="I23" i="71"/>
  <c r="I22" i="71"/>
  <c r="I21" i="71"/>
  <c r="K21" i="71" s="1"/>
  <c r="I20" i="71"/>
  <c r="I19" i="71"/>
  <c r="K19" i="71" s="1"/>
  <c r="I18" i="71"/>
  <c r="K18" i="71" s="1"/>
  <c r="I17" i="71"/>
  <c r="K17" i="71" s="1"/>
  <c r="I16" i="71"/>
  <c r="K25" i="72" l="1"/>
  <c r="K22" i="72"/>
  <c r="J131" i="72"/>
  <c r="J108" i="72"/>
  <c r="K135" i="72"/>
  <c r="J19" i="72"/>
  <c r="K164" i="72"/>
  <c r="K101" i="72"/>
  <c r="J140" i="72"/>
  <c r="I113" i="72"/>
  <c r="J113" i="72" s="1"/>
  <c r="K102" i="72"/>
  <c r="J102" i="72"/>
  <c r="J114" i="72"/>
  <c r="J90" i="72"/>
  <c r="J88" i="72"/>
  <c r="J117" i="72"/>
  <c r="J132" i="72"/>
  <c r="J20" i="72"/>
  <c r="K88" i="72"/>
  <c r="J110" i="72"/>
  <c r="K20" i="72"/>
  <c r="J27" i="72"/>
  <c r="K28" i="72"/>
  <c r="K29" i="72"/>
  <c r="J18" i="72"/>
  <c r="J85" i="72"/>
  <c r="K30" i="72"/>
  <c r="K85" i="72"/>
  <c r="K136" i="72"/>
  <c r="K160" i="72"/>
  <c r="K166" i="72"/>
  <c r="K165" i="72"/>
  <c r="J39" i="72"/>
  <c r="J107" i="72"/>
  <c r="J122" i="72"/>
  <c r="K107" i="72"/>
  <c r="J136" i="72"/>
  <c r="J142" i="72"/>
  <c r="J160" i="72"/>
  <c r="J166" i="72"/>
  <c r="I115" i="72"/>
  <c r="J115" i="72" s="1"/>
  <c r="J103" i="72"/>
  <c r="K104" i="72"/>
  <c r="K34" i="72"/>
  <c r="K132" i="72"/>
  <c r="K163" i="72"/>
  <c r="J99" i="72"/>
  <c r="J118" i="72"/>
  <c r="K139" i="72"/>
  <c r="K27" i="72"/>
  <c r="J105" i="72"/>
  <c r="K155" i="72"/>
  <c r="J16" i="72"/>
  <c r="J44" i="72"/>
  <c r="K89" i="72"/>
  <c r="J112" i="72"/>
  <c r="J121" i="72"/>
  <c r="K58" i="72"/>
  <c r="J58" i="72"/>
  <c r="K141" i="72"/>
  <c r="J141" i="72"/>
  <c r="J24" i="72"/>
  <c r="J51" i="72"/>
  <c r="J87" i="72"/>
  <c r="K90" i="72"/>
  <c r="K99" i="72"/>
  <c r="J109" i="72"/>
  <c r="K129" i="72"/>
  <c r="K142" i="72"/>
  <c r="J161" i="72"/>
  <c r="J21" i="72"/>
  <c r="J42" i="72"/>
  <c r="K87" i="72"/>
  <c r="J111" i="72"/>
  <c r="J116" i="72"/>
  <c r="J134" i="72"/>
  <c r="K161" i="72"/>
  <c r="K24" i="72"/>
  <c r="K134" i="72"/>
  <c r="J28" i="72"/>
  <c r="J89" i="72"/>
  <c r="J165" i="72"/>
  <c r="J23" i="72"/>
  <c r="K33" i="72"/>
  <c r="K35" i="72"/>
  <c r="J45" i="72"/>
  <c r="J86" i="72"/>
  <c r="J98" i="72"/>
  <c r="K106" i="72"/>
  <c r="J119" i="72"/>
  <c r="J133" i="72"/>
  <c r="K23" i="72"/>
  <c r="K86" i="72"/>
  <c r="K98" i="72"/>
  <c r="K133" i="72"/>
  <c r="J17" i="72"/>
  <c r="J50" i="72"/>
  <c r="J91" i="72"/>
  <c r="J100" i="72"/>
  <c r="K103" i="72"/>
  <c r="J126" i="72"/>
  <c r="J130" i="72"/>
  <c r="J138" i="72"/>
  <c r="J143" i="72"/>
  <c r="J154" i="72"/>
  <c r="J162" i="72"/>
  <c r="K167" i="72"/>
  <c r="I113" i="71"/>
  <c r="K113" i="71" s="1"/>
  <c r="I115" i="71"/>
  <c r="K115" i="71" s="1"/>
  <c r="K58" i="71"/>
  <c r="K114" i="71"/>
  <c r="K102" i="71"/>
  <c r="K112" i="71"/>
  <c r="K29" i="71"/>
  <c r="K162" i="71"/>
  <c r="K91" i="71"/>
  <c r="K130" i="71"/>
  <c r="K137" i="71"/>
  <c r="K144" i="71"/>
  <c r="K22" i="71"/>
  <c r="K108" i="71"/>
  <c r="K154" i="71"/>
  <c r="K27" i="71"/>
  <c r="K20" i="71"/>
  <c r="K16" i="71"/>
  <c r="K101" i="71"/>
  <c r="K23" i="71"/>
  <c r="K33" i="71"/>
  <c r="K50" i="71"/>
  <c r="K164" i="71"/>
  <c r="K36" i="71"/>
  <c r="K107" i="71"/>
  <c r="K136" i="71"/>
  <c r="K119" i="71"/>
  <c r="K121" i="71"/>
  <c r="K143" i="71"/>
  <c r="K141" i="71"/>
  <c r="K118" i="71"/>
  <c r="K90" i="71"/>
  <c r="K99" i="71"/>
  <c r="K142" i="71"/>
  <c r="K44" i="71"/>
  <c r="K183" i="72" l="1"/>
  <c r="K10" i="72" s="1"/>
  <c r="F22" i="70" s="1"/>
  <c r="H22" i="70" s="1"/>
  <c r="K79" i="72"/>
  <c r="K9" i="72" s="1"/>
  <c r="F21" i="70" s="1"/>
  <c r="J79" i="72"/>
  <c r="J9" i="72" s="1"/>
  <c r="F27" i="70" s="1"/>
  <c r="J183" i="72"/>
  <c r="J10" i="72" s="1"/>
  <c r="F28" i="70" s="1"/>
  <c r="K183" i="71"/>
  <c r="K10" i="71" s="1"/>
  <c r="F22" i="68" s="1"/>
  <c r="K79" i="71"/>
  <c r="K9" i="71" s="1"/>
  <c r="F21" i="68" s="1"/>
  <c r="H27" i="70" l="1"/>
  <c r="T27" i="70" s="1"/>
  <c r="R21" i="68"/>
  <c r="T21" i="68" s="1"/>
  <c r="R22" i="70"/>
  <c r="T22" i="70"/>
  <c r="H28" i="70"/>
  <c r="H21" i="70"/>
  <c r="R21" i="70" s="1"/>
  <c r="R28" i="68"/>
  <c r="T28" i="68" s="1"/>
  <c r="F23" i="68"/>
  <c r="K11" i="71"/>
  <c r="V21" i="68" l="1"/>
  <c r="Z21" i="68" s="1"/>
  <c r="R27" i="70"/>
  <c r="H29" i="70"/>
  <c r="T29" i="70" s="1"/>
  <c r="T28" i="70"/>
  <c r="R28" i="70"/>
  <c r="T21" i="70"/>
  <c r="H23" i="70"/>
  <c r="V28" i="68"/>
  <c r="Z28" i="68" s="1"/>
  <c r="R29" i="70" l="1"/>
  <c r="T23" i="70"/>
  <c r="R23" i="70"/>
  <c r="H23" i="68" l="1"/>
  <c r="R23" i="68" l="1"/>
  <c r="R29" i="68"/>
  <c r="Q29" i="68" s="1"/>
  <c r="T23" i="68" l="1"/>
  <c r="V23" i="68"/>
  <c r="R22" i="68"/>
  <c r="T22" i="68" s="1"/>
  <c r="Y21" i="68" s="1"/>
  <c r="Q23" i="68"/>
  <c r="R27" i="68"/>
  <c r="T27" i="68" s="1"/>
  <c r="Y27" i="68" s="1"/>
  <c r="V29" i="68"/>
  <c r="T29" i="68"/>
  <c r="V22" i="68" l="1"/>
  <c r="Z22" i="68" s="1"/>
  <c r="V27" i="68"/>
  <c r="Z27" i="68" s="1"/>
  <c r="AA27" i="68" l="1"/>
  <c r="H22" i="68" s="1"/>
  <c r="AA21" i="68"/>
  <c r="H21" i="68" s="1"/>
  <c r="Q21" i="68" l="1"/>
  <c r="Q27" i="68"/>
  <c r="Q22" i="68" l="1"/>
  <c r="Q28" i="68"/>
</calcChain>
</file>

<file path=xl/sharedStrings.xml><?xml version="1.0" encoding="utf-8"?>
<sst xmlns="http://schemas.openxmlformats.org/spreadsheetml/2006/main" count="796" uniqueCount="362">
  <si>
    <t>NO.</t>
    <phoneticPr fontId="1"/>
  </si>
  <si>
    <t>LOCATION</t>
    <phoneticPr fontId="1"/>
  </si>
  <si>
    <t>HIGHT</t>
    <phoneticPr fontId="1"/>
  </si>
  <si>
    <t>DEPTH</t>
    <phoneticPr fontId="1"/>
  </si>
  <si>
    <t>DIMENSION(mm)</t>
    <phoneticPr fontId="1"/>
  </si>
  <si>
    <t>GROSS</t>
    <phoneticPr fontId="1"/>
  </si>
  <si>
    <t>TOTAL</t>
    <phoneticPr fontId="1"/>
  </si>
  <si>
    <t>WIDTH</t>
    <phoneticPr fontId="1"/>
  </si>
  <si>
    <t>F1</t>
    <phoneticPr fontId="1"/>
  </si>
  <si>
    <t>F2</t>
    <phoneticPr fontId="1"/>
  </si>
  <si>
    <t>F3</t>
    <phoneticPr fontId="1"/>
  </si>
  <si>
    <t>STORAGE</t>
    <phoneticPr fontId="1"/>
  </si>
  <si>
    <t>R1</t>
    <phoneticPr fontId="1"/>
  </si>
  <si>
    <t>R2</t>
    <phoneticPr fontId="1"/>
  </si>
  <si>
    <t>R3</t>
    <phoneticPr fontId="1"/>
  </si>
  <si>
    <t>FRESH FOOD</t>
    <phoneticPr fontId="1"/>
  </si>
  <si>
    <t>FROZEN FOOD</t>
    <phoneticPr fontId="1"/>
  </si>
  <si>
    <t>IEC62552:2007</t>
    <phoneticPr fontId="1"/>
  </si>
  <si>
    <t>VOLUME
(L)</t>
    <phoneticPr fontId="1"/>
  </si>
  <si>
    <t>R9</t>
  </si>
  <si>
    <t>GAP CAB～DOOR</t>
    <phoneticPr fontId="1"/>
  </si>
  <si>
    <t>R DOOR LINER UPPER1</t>
    <phoneticPr fontId="1"/>
  </si>
  <si>
    <t>F4</t>
  </si>
  <si>
    <t>F5</t>
  </si>
  <si>
    <t>F6</t>
  </si>
  <si>
    <t>F7</t>
  </si>
  <si>
    <t>F12</t>
  </si>
  <si>
    <t>F13</t>
  </si>
  <si>
    <t>F16</t>
  </si>
  <si>
    <t>F17</t>
  </si>
  <si>
    <t>R4</t>
  </si>
  <si>
    <t>R5</t>
  </si>
  <si>
    <t>R6</t>
  </si>
  <si>
    <t>R7</t>
  </si>
  <si>
    <t>R8</t>
  </si>
  <si>
    <t>R10</t>
  </si>
  <si>
    <t>R18</t>
  </si>
  <si>
    <t>R19</t>
  </si>
  <si>
    <t>R DOOR LINER LOWER1</t>
    <phoneticPr fontId="1"/>
  </si>
  <si>
    <t>R DOOR LINER LOWER2</t>
    <phoneticPr fontId="1"/>
  </si>
  <si>
    <t xml:space="preserve">Fresh food compartment </t>
    <phoneticPr fontId="1"/>
  </si>
  <si>
    <t>TOTAL</t>
    <phoneticPr fontId="6"/>
  </si>
  <si>
    <t>Comment</t>
    <phoneticPr fontId="1"/>
  </si>
  <si>
    <t>approved</t>
  </si>
  <si>
    <t>checked</t>
  </si>
  <si>
    <t>charge</t>
    <phoneticPr fontId="1"/>
  </si>
  <si>
    <t>checked</t>
    <phoneticPr fontId="1"/>
  </si>
  <si>
    <r>
      <rPr>
        <sz val="11"/>
        <rFont val="ＭＳ Ｐゴシック"/>
        <family val="3"/>
        <charset val="128"/>
      </rPr>
      <t>①</t>
    </r>
    <phoneticPr fontId="1"/>
  </si>
  <si>
    <t>Date</t>
    <phoneticPr fontId="1"/>
  </si>
  <si>
    <t>Revise</t>
    <phoneticPr fontId="1"/>
  </si>
  <si>
    <t>STORAGE VOLUME</t>
    <phoneticPr fontId="1"/>
  </si>
  <si>
    <t>F11</t>
  </si>
  <si>
    <t>IEC62552:2015</t>
    <phoneticPr fontId="1"/>
  </si>
  <si>
    <t>VOLUME</t>
    <phoneticPr fontId="1"/>
  </si>
  <si>
    <t>ADD/MINUS</t>
    <phoneticPr fontId="1"/>
  </si>
  <si>
    <t>ADD/MINUS</t>
    <phoneticPr fontId="1"/>
  </si>
  <si>
    <t>F DOOR LINER</t>
    <phoneticPr fontId="1"/>
  </si>
  <si>
    <t>F DOOR LINER CONVEX</t>
    <phoneticPr fontId="1"/>
  </si>
  <si>
    <t>C-PART BACK</t>
    <phoneticPr fontId="1"/>
  </si>
  <si>
    <t>C-PART SIDE 1</t>
    <phoneticPr fontId="1"/>
  </si>
  <si>
    <t>C-PART SIDE 2</t>
    <phoneticPr fontId="1"/>
  </si>
  <si>
    <t>MAIN 1</t>
    <phoneticPr fontId="1"/>
  </si>
  <si>
    <t>MAIN 2</t>
    <phoneticPr fontId="1"/>
  </si>
  <si>
    <t>MAIN 3</t>
    <phoneticPr fontId="1"/>
  </si>
  <si>
    <t>LAMP AREA</t>
    <phoneticPr fontId="1"/>
  </si>
  <si>
    <t>FOOD LINER RAIL CONVEX</t>
    <phoneticPr fontId="1"/>
  </si>
  <si>
    <t>FOOD LINER RAIL CONCAVE</t>
    <phoneticPr fontId="1"/>
  </si>
  <si>
    <t>Q'ty</t>
    <phoneticPr fontId="1"/>
  </si>
  <si>
    <t>FOOD LINER RAIL CONVEX: 2007</t>
    <phoneticPr fontId="1"/>
  </si>
  <si>
    <t>FAN LOUVER 1</t>
  </si>
  <si>
    <t>FAN LOUVER 4</t>
  </si>
  <si>
    <t>FAN LOUVER SIDE</t>
    <phoneticPr fontId="1"/>
  </si>
  <si>
    <t>FAN LOUVER 6</t>
    <phoneticPr fontId="1"/>
  </si>
  <si>
    <t>FAN LOUVER 7</t>
    <phoneticPr fontId="1"/>
  </si>
  <si>
    <t>FAN LOUVER 8</t>
    <phoneticPr fontId="1"/>
  </si>
  <si>
    <t>FAN LOUVER 9</t>
    <phoneticPr fontId="1"/>
  </si>
  <si>
    <t>FAN LOUVER 10</t>
    <phoneticPr fontId="1"/>
  </si>
  <si>
    <t>FAN LOUVER 11</t>
    <phoneticPr fontId="1"/>
  </si>
  <si>
    <t>FAN LOUVER 12</t>
    <phoneticPr fontId="1"/>
  </si>
  <si>
    <t>FAN LOUVER 13</t>
    <phoneticPr fontId="1"/>
  </si>
  <si>
    <t>FAN LOUVER 14</t>
    <phoneticPr fontId="1"/>
  </si>
  <si>
    <t>FAN LOUVER 15</t>
    <phoneticPr fontId="1"/>
  </si>
  <si>
    <t>FAN LOUVER 16</t>
    <phoneticPr fontId="1"/>
  </si>
  <si>
    <t>FAN LOUVER 18</t>
    <phoneticPr fontId="1"/>
  </si>
  <si>
    <t>FOOD LINER CORNER</t>
    <phoneticPr fontId="1"/>
  </si>
  <si>
    <t>MAIN 1</t>
    <phoneticPr fontId="1"/>
  </si>
  <si>
    <t>FOOD LINER BACK SIDE CORNER</t>
    <phoneticPr fontId="1"/>
  </si>
  <si>
    <t>FOOD LINER BACK TOP CORNER</t>
    <phoneticPr fontId="1"/>
  </si>
  <si>
    <t>FOOD LINER CORNER</t>
    <phoneticPr fontId="1"/>
  </si>
  <si>
    <t>FOOD LINER TOP TRIANGLE</t>
    <phoneticPr fontId="1"/>
  </si>
  <si>
    <t>FOOD LINER SIDE TRIANGLE L/R</t>
    <phoneticPr fontId="1"/>
  </si>
  <si>
    <t>FOOD LINER CONVEX</t>
    <phoneticPr fontId="1"/>
  </si>
  <si>
    <t>R DOOR LINER GAP</t>
    <phoneticPr fontId="1"/>
  </si>
  <si>
    <t>R DOOR LINER BACK SIDE CORNER</t>
    <phoneticPr fontId="1"/>
  </si>
  <si>
    <t>R DOOR LINER BACK TOP CORNER</t>
    <phoneticPr fontId="1"/>
  </si>
  <si>
    <t>R DOOR LINER BACK BOTTOM CORNER</t>
    <phoneticPr fontId="1"/>
  </si>
  <si>
    <t>R DOOR LINER UPPER2</t>
    <phoneticPr fontId="1"/>
  </si>
  <si>
    <t>R DOOR LINER LOWER3</t>
    <phoneticPr fontId="1"/>
  </si>
  <si>
    <t>R DOOR LINER UPPER BACK CONVEX</t>
    <phoneticPr fontId="1"/>
  </si>
  <si>
    <t>R DOOR LINER LOWER BACK CONVEX</t>
    <phoneticPr fontId="1"/>
  </si>
  <si>
    <t>R DOOR LINER POCKET CONVEX</t>
    <phoneticPr fontId="1"/>
  </si>
  <si>
    <t>R DOOR LINER POCKET CONVEX BACK</t>
    <phoneticPr fontId="1"/>
  </si>
  <si>
    <t>R SHOWER DUCT 1</t>
    <phoneticPr fontId="1"/>
  </si>
  <si>
    <t>R SHOWER DUCT 2</t>
    <phoneticPr fontId="1"/>
  </si>
  <si>
    <t>R SHOWER DUCT 3</t>
    <phoneticPr fontId="1"/>
  </si>
  <si>
    <t>R SHOWER DUCT 2+21.6mm</t>
    <phoneticPr fontId="1"/>
  </si>
  <si>
    <t>R SHOWER DUCT 1+21.6mm</t>
    <phoneticPr fontId="1"/>
  </si>
  <si>
    <t>R-C BOX 1</t>
    <phoneticPr fontId="1"/>
  </si>
  <si>
    <t>R-C BOX 2</t>
    <phoneticPr fontId="1"/>
  </si>
  <si>
    <t>R-C BOX 3</t>
    <phoneticPr fontId="1"/>
  </si>
  <si>
    <t>R-C BOX 4</t>
    <phoneticPr fontId="1"/>
  </si>
  <si>
    <t>R-C BOX 5</t>
    <phoneticPr fontId="1"/>
  </si>
  <si>
    <t>R-C BOX 6 RIB</t>
    <phoneticPr fontId="1"/>
  </si>
  <si>
    <t>R-C BOX 7</t>
    <phoneticPr fontId="1"/>
  </si>
  <si>
    <t>R-C BOX 8</t>
    <phoneticPr fontId="1"/>
  </si>
  <si>
    <t>R-C BOX 9</t>
    <phoneticPr fontId="1"/>
  </si>
  <si>
    <t>R-C BOX 10</t>
    <phoneticPr fontId="1"/>
  </si>
  <si>
    <t>FOOD LINER BACK BOTTOM SIDE</t>
    <phoneticPr fontId="1"/>
  </si>
  <si>
    <t>C-PART CONCAVE 3</t>
    <phoneticPr fontId="1"/>
  </si>
  <si>
    <t>C-PART CONCAVE 4</t>
    <phoneticPr fontId="1"/>
  </si>
  <si>
    <t>R SHELF RAIL 1</t>
    <phoneticPr fontId="1"/>
  </si>
  <si>
    <t>R SHELF RAIL 2</t>
    <phoneticPr fontId="1"/>
  </si>
  <si>
    <t>R SHELF RAIL 2</t>
    <phoneticPr fontId="1"/>
  </si>
  <si>
    <t>F-SET SHELF INSIDE RAIL</t>
    <phoneticPr fontId="1"/>
  </si>
  <si>
    <t>F-SET SHELF INSIDE RAIL</t>
    <phoneticPr fontId="1"/>
  </si>
  <si>
    <t>V-SHELF RAIL 1</t>
    <phoneticPr fontId="1"/>
  </si>
  <si>
    <t>V-SHELF RAIL 2</t>
    <phoneticPr fontId="1"/>
  </si>
  <si>
    <t>FOOD LINER CONCAVE</t>
    <phoneticPr fontId="1"/>
  </si>
  <si>
    <t>FRESH-SHELF RAIL 1</t>
    <phoneticPr fontId="1"/>
  </si>
  <si>
    <t>FRESH-SHELF RAIL 2</t>
    <phoneticPr fontId="1"/>
  </si>
  <si>
    <t>R SHELF RAIL CONCAVE</t>
    <phoneticPr fontId="1"/>
  </si>
  <si>
    <t>FOOD LINER FRONT SIDE</t>
    <phoneticPr fontId="1"/>
  </si>
  <si>
    <t>FOOD LINER FRONT TOP</t>
    <phoneticPr fontId="1"/>
  </si>
  <si>
    <t>C-PART FRONT</t>
    <phoneticPr fontId="1"/>
  </si>
  <si>
    <t>GAP CAB～DOOR</t>
    <phoneticPr fontId="1"/>
  </si>
  <si>
    <t>F DOOR LINER TOP GAP</t>
    <phoneticPr fontId="1"/>
  </si>
  <si>
    <t>C-PART CONCAVE 5</t>
    <phoneticPr fontId="1"/>
  </si>
  <si>
    <t>C-PART CONVEX</t>
    <phoneticPr fontId="1"/>
  </si>
  <si>
    <t>HEIGHT</t>
    <phoneticPr fontId="1"/>
  </si>
  <si>
    <t>F-SET RAIL 1 :2007</t>
    <phoneticPr fontId="1"/>
  </si>
  <si>
    <t>F-SET RAIL 2 :2007</t>
    <phoneticPr fontId="1"/>
  </si>
  <si>
    <t>F-SET RAIL 3 :2007</t>
    <phoneticPr fontId="1"/>
  </si>
  <si>
    <t>F-SET RAIL 4 :2007</t>
    <phoneticPr fontId="1"/>
  </si>
  <si>
    <t>F-SET RAIL 5 :2007</t>
    <phoneticPr fontId="1"/>
  </si>
  <si>
    <t>F-SET RAIL 6 :2007</t>
    <phoneticPr fontId="1"/>
  </si>
  <si>
    <t>F-SET RAIL 7 :2007</t>
    <phoneticPr fontId="1"/>
  </si>
  <si>
    <t>F-SET RAIL 8 :2007</t>
    <phoneticPr fontId="1"/>
  </si>
  <si>
    <t>F8</t>
  </si>
  <si>
    <t>F9</t>
  </si>
  <si>
    <t>F10</t>
  </si>
  <si>
    <t>F15</t>
  </si>
  <si>
    <t>F18</t>
    <phoneticPr fontId="1"/>
  </si>
  <si>
    <t>F19</t>
    <phoneticPr fontId="1"/>
  </si>
  <si>
    <t>F20</t>
    <phoneticPr fontId="1"/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</si>
  <si>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</si>
  <si>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</si>
  <si>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</si>
  <si>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</si>
  <si>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</si>
  <si>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</si>
  <si>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</si>
  <si>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</si>
  <si>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</si>
  <si>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</si>
  <si>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</si>
  <si>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</si>
  <si>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</si>
  <si>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</si>
  <si>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</si>
  <si>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</si>
  <si>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</si>
  <si>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</si>
  <si>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</si>
  <si>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</si>
  <si>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</si>
  <si>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</si>
  <si>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</si>
  <si>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</si>
  <si>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</si>
  <si>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</si>
  <si>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</si>
  <si>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</si>
  <si>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</si>
  <si>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</si>
  <si>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</si>
  <si>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</si>
  <si>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</si>
  <si>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</si>
  <si>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</si>
  <si>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</si>
  <si>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</si>
  <si>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</si>
  <si>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</si>
  <si>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</si>
  <si>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</si>
  <si>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R11</t>
  </si>
  <si>
    <t>R12</t>
  </si>
  <si>
    <t>R13</t>
  </si>
  <si>
    <t>R14</t>
  </si>
  <si>
    <t>R15</t>
  </si>
  <si>
    <t>R16</t>
  </si>
  <si>
    <t>R17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</si>
  <si>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</si>
  <si>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</si>
  <si>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</si>
  <si>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</si>
  <si>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</si>
  <si>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</si>
  <si>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</si>
  <si>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</si>
  <si>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</si>
  <si>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</si>
  <si>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</si>
  <si>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</si>
  <si>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</si>
  <si>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</si>
  <si>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</si>
  <si>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</si>
  <si>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</si>
  <si>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</si>
  <si>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</si>
  <si>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</si>
  <si>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  <phoneticPr fontId="1"/>
  </si>
  <si>
    <t>R41</t>
    <phoneticPr fontId="1"/>
  </si>
  <si>
    <t>R42</t>
    <phoneticPr fontId="1"/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</si>
  <si>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</si>
  <si>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</si>
  <si>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</si>
  <si>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</si>
  <si>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</si>
  <si>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</si>
  <si>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</si>
  <si>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</si>
  <si>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</si>
  <si>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</si>
  <si>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</si>
  <si>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</si>
  <si>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</si>
  <si>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</si>
  <si>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</si>
  <si>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</si>
  <si>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</si>
  <si>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</si>
  <si>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</si>
  <si>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</si>
  <si>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</si>
  <si>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</si>
  <si>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</si>
  <si>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</si>
  <si>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</si>
  <si>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</si>
  <si>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</si>
  <si>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</si>
  <si>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</si>
  <si>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</si>
  <si>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</si>
  <si>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</si>
  <si>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</si>
  <si>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</si>
  <si>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</si>
  <si>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</si>
  <si>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</si>
  <si>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</si>
  <si>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</si>
  <si>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</si>
  <si>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</si>
  <si>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</si>
  <si>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</si>
  <si>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</si>
  <si>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</si>
  <si>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</si>
  <si>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</si>
  <si>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</si>
  <si>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PV73K/KW, GV73J/JW TYPE VOLUME</t>
    <phoneticPr fontId="1"/>
  </si>
  <si>
    <t>File No.;</t>
    <phoneticPr fontId="1"/>
  </si>
  <si>
    <t>Class</t>
    <phoneticPr fontId="1"/>
  </si>
  <si>
    <t>Date;</t>
    <phoneticPr fontId="1"/>
  </si>
  <si>
    <t>Refrigarator-freezer</t>
    <phoneticPr fontId="1"/>
  </si>
  <si>
    <t>Dept.;</t>
    <phoneticPr fontId="1"/>
  </si>
  <si>
    <t>Global. Ref. Eng. Div./ MA Business Unit</t>
    <phoneticPr fontId="1"/>
  </si>
  <si>
    <t>Title</t>
    <phoneticPr fontId="1"/>
  </si>
  <si>
    <r>
      <t>Measurement the volume</t>
    </r>
    <r>
      <rPr>
        <b/>
        <sz val="14"/>
        <rFont val="ＭＳ Ｐゴシック"/>
        <family val="3"/>
        <charset val="128"/>
      </rPr>
      <t>　　　</t>
    </r>
    <r>
      <rPr>
        <b/>
        <sz val="14"/>
        <rFont val="Century"/>
        <family val="1"/>
      </rPr>
      <t xml:space="preserve">                            </t>
    </r>
    <phoneticPr fontId="1"/>
  </si>
  <si>
    <r>
      <rPr>
        <b/>
        <sz val="14"/>
        <rFont val="Century"/>
        <family val="1"/>
      </rPr>
      <t>Sharp</t>
    </r>
    <r>
      <rPr>
        <sz val="14"/>
        <rFont val="Century"/>
        <family val="1"/>
      </rPr>
      <t xml:space="preserve"> brand </t>
    </r>
    <r>
      <rPr>
        <b/>
        <sz val="14"/>
        <rFont val="Century"/>
        <family val="1"/>
      </rPr>
      <t>Refrigerator - Freezer</t>
    </r>
    <r>
      <rPr>
        <sz val="14"/>
        <rFont val="Century"/>
        <family val="1"/>
      </rPr>
      <t xml:space="preserve"> (Household use only)</t>
    </r>
    <phoneticPr fontId="6"/>
  </si>
  <si>
    <t>Theme</t>
    <phoneticPr fontId="1"/>
  </si>
  <si>
    <t>Result</t>
    <phoneticPr fontId="1"/>
  </si>
  <si>
    <t>(Unit; l / Litter )</t>
    <phoneticPr fontId="1"/>
  </si>
  <si>
    <t>GROSS VOLUME</t>
    <phoneticPr fontId="1"/>
  </si>
  <si>
    <r>
      <t xml:space="preserve">Measure </t>
    </r>
    <r>
      <rPr>
        <sz val="11"/>
        <rFont val="ＭＳ Ｐ明朝"/>
        <family val="1"/>
        <charset val="128"/>
      </rPr>
      <t>－</t>
    </r>
    <r>
      <rPr>
        <sz val="11"/>
        <rFont val="Century"/>
        <family val="1"/>
      </rPr>
      <t xml:space="preserve"> Rated</t>
    </r>
    <phoneticPr fontId="6"/>
  </si>
  <si>
    <r>
      <t xml:space="preserve">Measure </t>
    </r>
    <r>
      <rPr>
        <sz val="11"/>
        <rFont val="ＭＳ Ｐ明朝"/>
        <family val="1"/>
        <charset val="128"/>
      </rPr>
      <t>／</t>
    </r>
    <r>
      <rPr>
        <sz val="11"/>
        <rFont val="Century"/>
        <family val="1"/>
      </rPr>
      <t xml:space="preserve"> Rated</t>
    </r>
    <phoneticPr fontId="6"/>
  </si>
  <si>
    <t>compartment</t>
    <phoneticPr fontId="1"/>
  </si>
  <si>
    <t>Measurement</t>
    <phoneticPr fontId="1"/>
  </si>
  <si>
    <t>Rated Volume</t>
    <phoneticPr fontId="1"/>
  </si>
  <si>
    <r>
      <t>A-B:</t>
    </r>
    <r>
      <rPr>
        <b/>
        <sz val="11"/>
        <rFont val="Century"/>
        <family val="1"/>
      </rPr>
      <t>Difference</t>
    </r>
    <phoneticPr fontId="6"/>
  </si>
  <si>
    <r>
      <t>A/B</t>
    </r>
    <r>
      <rPr>
        <sz val="11"/>
        <rFont val="ＭＳ Ｐゴシック"/>
        <family val="3"/>
        <charset val="128"/>
      </rPr>
      <t>：</t>
    </r>
    <r>
      <rPr>
        <b/>
        <sz val="11"/>
        <rFont val="Century"/>
        <family val="1"/>
      </rPr>
      <t>Ratio</t>
    </r>
    <phoneticPr fontId="1"/>
  </si>
  <si>
    <t>Food freezer compartment</t>
    <phoneticPr fontId="1"/>
  </si>
  <si>
    <t>F</t>
    <phoneticPr fontId="6"/>
  </si>
  <si>
    <t xml:space="preserve">Fresh food compartment </t>
    <phoneticPr fontId="1"/>
  </si>
  <si>
    <t>R</t>
    <phoneticPr fontId="6"/>
  </si>
  <si>
    <t>Total</t>
    <phoneticPr fontId="1"/>
  </si>
  <si>
    <r>
      <t xml:space="preserve">Measure </t>
    </r>
    <r>
      <rPr>
        <sz val="11"/>
        <rFont val="ＭＳ Ｐ明朝"/>
        <family val="1"/>
        <charset val="128"/>
      </rPr>
      <t>／</t>
    </r>
    <r>
      <rPr>
        <sz val="11"/>
        <rFont val="Century"/>
        <family val="1"/>
      </rPr>
      <t xml:space="preserve"> Rated</t>
    </r>
    <phoneticPr fontId="6"/>
  </si>
  <si>
    <r>
      <t>A/B</t>
    </r>
    <r>
      <rPr>
        <sz val="11"/>
        <rFont val="ＭＳ Ｐゴシック"/>
        <family val="3"/>
        <charset val="128"/>
      </rPr>
      <t>：</t>
    </r>
    <r>
      <rPr>
        <b/>
        <sz val="11"/>
        <rFont val="Century"/>
        <family val="1"/>
      </rPr>
      <t>Ratio</t>
    </r>
    <phoneticPr fontId="1"/>
  </si>
  <si>
    <t>R</t>
    <phoneticPr fontId="6"/>
  </si>
  <si>
    <t>TOTAL</t>
    <phoneticPr fontId="6"/>
  </si>
  <si>
    <t>Conclusion</t>
    <phoneticPr fontId="1"/>
  </si>
  <si>
    <r>
      <t>S</t>
    </r>
    <r>
      <rPr>
        <sz val="12"/>
        <rFont val="Century"/>
        <family val="1"/>
      </rPr>
      <t>tandard checked</t>
    </r>
    <phoneticPr fontId="1"/>
  </si>
  <si>
    <t>checked</t>
    <phoneticPr fontId="1"/>
  </si>
  <si>
    <r>
      <rPr>
        <sz val="11"/>
        <rFont val="ＭＳ Ｐゴシック"/>
        <family val="3"/>
        <charset val="128"/>
      </rPr>
      <t>③</t>
    </r>
    <phoneticPr fontId="1"/>
  </si>
  <si>
    <r>
      <rPr>
        <sz val="11"/>
        <rFont val="ＭＳ Ｐゴシック"/>
        <family val="3"/>
        <charset val="128"/>
      </rPr>
      <t>②</t>
    </r>
    <phoneticPr fontId="1"/>
  </si>
  <si>
    <t>No.</t>
    <phoneticPr fontId="1"/>
  </si>
  <si>
    <t>Approval</t>
    <phoneticPr fontId="1"/>
  </si>
  <si>
    <t>F14</t>
    <phoneticPr fontId="1"/>
  </si>
  <si>
    <t>左端の黄色は、図面内にラベルが2箇所あるもの</t>
    <rPh sb="0" eb="2">
      <t>ヒダリハシ</t>
    </rPh>
    <rPh sb="3" eb="5">
      <t>キイロ</t>
    </rPh>
    <rPh sb="7" eb="9">
      <t>ズメン</t>
    </rPh>
    <rPh sb="9" eb="10">
      <t>ナイ</t>
    </rPh>
    <rPh sb="16" eb="18">
      <t>カショ</t>
    </rPh>
    <phoneticPr fontId="1"/>
  </si>
  <si>
    <t>R SHOWER DUCT 1,  RIB(35.8-27.6)</t>
    <phoneticPr fontId="1"/>
  </si>
  <si>
    <t>R SHOWER DUCT 2,  RIB(35.8-22.5)</t>
    <phoneticPr fontId="1"/>
  </si>
  <si>
    <t>FOOD LINER BACK BOTTOM :2007</t>
    <phoneticPr fontId="1"/>
  </si>
  <si>
    <t>F-SET RAIL 9 :2007</t>
    <phoneticPr fontId="1"/>
  </si>
  <si>
    <t>FOOD LINER CONVEX :2007</t>
    <phoneticPr fontId="1"/>
  </si>
  <si>
    <t>FOOD LINER CONCAVE :2007</t>
    <phoneticPr fontId="1"/>
  </si>
  <si>
    <t>C-PART CONVEX :2007</t>
    <phoneticPr fontId="1"/>
  </si>
  <si>
    <t>C-PART CONCAVE :2007</t>
    <phoneticPr fontId="1"/>
  </si>
  <si>
    <t>FOOD LINER BACK BOTTOM :2007</t>
    <phoneticPr fontId="1"/>
  </si>
  <si>
    <t>EVA ROOM :2007</t>
    <phoneticPr fontId="1"/>
  </si>
  <si>
    <t>EVA ROOM :2007</t>
    <phoneticPr fontId="1"/>
  </si>
  <si>
    <t>EVA ROOM :2007</t>
    <phoneticPr fontId="1"/>
  </si>
  <si>
    <t>DRIP TRAY :2007</t>
    <phoneticPr fontId="1"/>
  </si>
  <si>
    <t>EVA ROOM :2007</t>
    <phoneticPr fontId="1"/>
  </si>
  <si>
    <t>FOOD LINER RAIL CONVEX :2007</t>
    <phoneticPr fontId="1"/>
  </si>
  <si>
    <t>FAN LOUVER 17 :2007</t>
    <phoneticPr fontId="1"/>
  </si>
  <si>
    <t>FAN LOUVER 19 :2007</t>
    <phoneticPr fontId="1"/>
  </si>
  <si>
    <t>FAN LOUVER 2 :2015</t>
    <phoneticPr fontId="1"/>
  </si>
  <si>
    <t>FAN LOUVER 3 :2015</t>
    <phoneticPr fontId="1"/>
  </si>
  <si>
    <t>FAN LOUVER 5 :2015</t>
    <phoneticPr fontId="1"/>
  </si>
  <si>
    <t>FAN LOUVER 20 :2015</t>
    <phoneticPr fontId="1"/>
  </si>
  <si>
    <t>FAN LOUVER 21 :2015</t>
    <phoneticPr fontId="1"/>
  </si>
  <si>
    <t>FAN LOUVER 22: :2015</t>
    <phoneticPr fontId="1"/>
  </si>
  <si>
    <r>
      <t xml:space="preserve"> We measure the gross volume and storage volume of model: </t>
    </r>
    <r>
      <rPr>
        <b/>
        <sz val="11"/>
        <rFont val="Century"/>
        <family val="1"/>
      </rPr>
      <t>SJ-PV73K/KW-**, SJ-GV73J/JW-**.</t>
    </r>
    <phoneticPr fontId="1"/>
  </si>
  <si>
    <r>
      <t xml:space="preserve">   </t>
    </r>
    <r>
      <rPr>
        <sz val="11"/>
        <rFont val="ＭＳ Ｐゴシック"/>
        <family val="3"/>
        <charset val="128"/>
      </rPr>
      <t>（</t>
    </r>
    <r>
      <rPr>
        <sz val="11"/>
        <rFont val="Century"/>
        <family val="1"/>
      </rPr>
      <t>in  accordance with IEC 62552:2015)</t>
    </r>
    <phoneticPr fontId="1"/>
  </si>
  <si>
    <t>Total volume</t>
    <phoneticPr fontId="1"/>
  </si>
  <si>
    <r>
      <t xml:space="preserve">Result of </t>
    </r>
    <r>
      <rPr>
        <sz val="12"/>
        <rFont val="Century"/>
        <family val="1"/>
      </rPr>
      <t xml:space="preserve">the </t>
    </r>
    <r>
      <rPr>
        <sz val="11"/>
        <rFont val="Century"/>
        <family val="1"/>
      </rPr>
      <t>measured Rated Volume complied with the  IEC 62552:2015.</t>
    </r>
    <phoneticPr fontId="1"/>
  </si>
  <si>
    <r>
      <t xml:space="preserve"> We measure the total volume of model: </t>
    </r>
    <r>
      <rPr>
        <b/>
        <sz val="11"/>
        <rFont val="Century"/>
        <family val="1"/>
      </rPr>
      <t>SJ-PV73K/KW-**, SJ-GV73J/JW-**.</t>
    </r>
    <phoneticPr fontId="1"/>
  </si>
  <si>
    <t>TOTAL VOLUME</t>
    <phoneticPr fontId="1"/>
  </si>
  <si>
    <r>
      <t xml:space="preserve">   </t>
    </r>
    <r>
      <rPr>
        <sz val="11"/>
        <rFont val="ＭＳ Ｐゴシック"/>
        <family val="3"/>
        <charset val="128"/>
      </rPr>
      <t>（</t>
    </r>
    <r>
      <rPr>
        <sz val="11"/>
        <rFont val="Century"/>
        <family val="1"/>
      </rPr>
      <t>in  accordance with IEC 62552:2007)</t>
    </r>
    <phoneticPr fontId="1"/>
  </si>
  <si>
    <r>
      <t>SJ-PV73K/KW-**</t>
    </r>
    <r>
      <rPr>
        <sz val="11"/>
        <rFont val="Century"/>
        <family val="1"/>
      </rPr>
      <t xml:space="preserve">,   </t>
    </r>
    <r>
      <rPr>
        <b/>
        <sz val="11"/>
        <rFont val="Century"/>
        <family val="1"/>
      </rPr>
      <t>SJ-GV73J/JW-**</t>
    </r>
    <phoneticPr fontId="1"/>
  </si>
  <si>
    <r>
      <t xml:space="preserve">Result of </t>
    </r>
    <r>
      <rPr>
        <sz val="12"/>
        <rFont val="Century"/>
        <family val="1"/>
      </rPr>
      <t xml:space="preserve">the </t>
    </r>
    <r>
      <rPr>
        <sz val="11"/>
        <rFont val="Century"/>
        <family val="1"/>
      </rPr>
      <t>measured Rated Volume complied with the IEC 62552:2007.</t>
    </r>
    <phoneticPr fontId="1"/>
  </si>
  <si>
    <t>Total</t>
  </si>
  <si>
    <t>in case Round F</t>
    <phoneticPr fontId="1"/>
  </si>
  <si>
    <t>in case Round R</t>
    <phoneticPr fontId="1"/>
  </si>
  <si>
    <t>R</t>
    <phoneticPr fontId="6"/>
  </si>
  <si>
    <t>diff.(%)</t>
    <phoneticPr fontId="1"/>
  </si>
  <si>
    <t>sum of diff.</t>
    <phoneticPr fontId="1"/>
  </si>
  <si>
    <t>sum of diff.(%)</t>
    <phoneticPr fontId="1"/>
  </si>
  <si>
    <t>for only confirmation</t>
    <phoneticPr fontId="6"/>
  </si>
  <si>
    <t>not filing.</t>
    <phoneticPr fontId="6"/>
  </si>
  <si>
    <t>F62</t>
    <phoneticPr fontId="1"/>
  </si>
  <si>
    <t>EVA ROOM :2007</t>
    <phoneticPr fontId="1"/>
  </si>
  <si>
    <t>R7.1</t>
    <phoneticPr fontId="1"/>
  </si>
  <si>
    <t>R7.2</t>
    <phoneticPr fontId="1"/>
  </si>
  <si>
    <t>R7.3</t>
    <phoneticPr fontId="1"/>
  </si>
  <si>
    <t>R7.4</t>
    <phoneticPr fontId="1"/>
  </si>
  <si>
    <t>R67.1</t>
    <phoneticPr fontId="1"/>
  </si>
  <si>
    <t>R68.1</t>
    <phoneticPr fontId="1"/>
  </si>
  <si>
    <t xml:space="preserve">Ref. Eng.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</si>
</sst>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8">
    <numFmt numFmtId="176" formatCode="0.0"/>
    <numFmt numFmtId="177" formatCode="0.0_ "/>
    <numFmt numFmtId="178" formatCode="0.00_ "/>
    <numFmt numFmtId="179" formatCode="#,##0.0_);[Red]\(#,##0.0\)"/>
    <numFmt numFmtId="180" formatCode="#,##0.0_ "/>
    <numFmt numFmtId="181" formatCode="[$-809]dd\ mmmm\ yyyy;@"/>
    <numFmt numFmtId="182" formatCode="0_ "/>
    <numFmt numFmtId="183" formatCode="0.0%"/>
    <numFmt numFmtId="184" formatCode="0.0_);[Red]\(0.0\)"/>
    <numFmt numFmtId="185" formatCode="0_);[Red]\(0\)"/>
    <numFmt numFmtId="186" formatCode="&quot;21.8+4.1&quot;"/>
    <numFmt numFmtId="187" formatCode="&quot;54+88.2+103.5&quot;"/>
    <numFmt numFmtId="189" formatCode="&quot;27.6+21.6&quot;"/>
    <numFmt numFmtId="190" formatCode="&quot;22.5+21.6&quot;"/>
    <numFmt numFmtId="191" formatCode="&quot;35.8-27.6&quot;"/>
    <numFmt numFmtId="192" formatCode="&quot;35.8-22.5&quot;"/>
    <numFmt numFmtId="193" formatCode="&quot;254.1+68.2*2+18.9*2&quot;"/>
    <numFmt numFmtId="194" formatCode="&quot;121.4+107.1&quot;"/>
    <numFmt numFmtId="195" formatCode="&quot;96.4+107.1&quot;"/>
    <numFmt numFmtId="196" formatCode="&quot;66+12.8&quot;"/>
    <numFmt numFmtId="197" formatCode="&quot;9.4+9.4&quot;"/>
    <numFmt numFmtId="198" formatCode="&quot;183.6-30.3&quot;"/>
    <numFmt numFmtId="199" formatCode="&quot;(&quot;0&quot;)&quot;\ "/>
    <numFmt numFmtId="200" formatCode="0.000000000000000000000000_ "/>
    <numFmt numFmtId="201" formatCode="0.0000000000000000000000_ "/>
    <numFmt numFmtId="202" formatCode="0.0000%"/>
    <numFmt numFmtId="203" formatCode="&quot;42+56+126+84&quot;"/>
    <numFmt numFmtId="204" formatCode="&quot;610.1+72.2&quot;"/>
  </numFmts>
  <fonts count="29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Century"/>
      <family val="1"/>
    </font>
    <font>
      <b/>
      <sz val="11"/>
      <name val="ＭＳ Ｐゴシック"/>
      <family val="3"/>
      <charset val="128"/>
      <scheme val="minor"/>
    </font>
    <font>
      <sz val="6"/>
      <name val="ＭＳ ゴシック"/>
      <family val="3"/>
      <charset val="128"/>
    </font>
    <font>
      <sz val="10"/>
      <name val="Century"/>
      <family val="1"/>
    </font>
    <font>
      <b/>
      <sz val="11"/>
      <name val="Century"/>
      <family val="1"/>
    </font>
    <font>
      <sz val="12"/>
      <name val="Century"/>
      <family val="1"/>
    </font>
    <font>
      <b/>
      <sz val="14"/>
      <name val="Century"/>
      <family val="1"/>
    </font>
    <font>
      <b/>
      <sz val="14"/>
      <name val="ＭＳ Ｐゴシック"/>
      <family val="3"/>
      <charset val="128"/>
    </font>
    <font>
      <sz val="14"/>
      <name val="Century"/>
      <family val="1"/>
    </font>
    <font>
      <b/>
      <u/>
      <sz val="11"/>
      <name val="Century"/>
      <family val="1"/>
    </font>
    <font>
      <b/>
      <sz val="11"/>
      <color indexed="10"/>
      <name val="Century"/>
      <family val="1"/>
    </font>
    <font>
      <b/>
      <sz val="11"/>
      <color indexed="12"/>
      <name val="Century"/>
      <family val="1"/>
    </font>
    <font>
      <sz val="11"/>
      <name val="ＭＳ Ｐ明朝"/>
      <family val="1"/>
      <charset val="128"/>
    </font>
    <font>
      <sz val="12"/>
      <name val="ＭＳ ゴシック"/>
      <family val="3"/>
      <charset val="128"/>
    </font>
    <font>
      <sz val="11"/>
      <color indexed="10"/>
      <name val="Century"/>
      <family val="1"/>
    </font>
    <font>
      <sz val="11"/>
      <color rgb="FFFF0000"/>
      <name val="Century"/>
      <family val="1"/>
    </font>
    <font>
      <b/>
      <sz val="11"/>
      <color rgb="FF0000CC"/>
      <name val="Century"/>
      <family val="1"/>
    </font>
    <font>
      <b/>
      <sz val="12"/>
      <name val="Centaur"/>
      <family val="1"/>
    </font>
    <font>
      <sz val="11"/>
      <color rgb="FF0000CC"/>
      <name val="Century"/>
      <family val="1"/>
    </font>
    <font>
      <sz val="12"/>
      <name val="Centaur"/>
      <family val="1"/>
    </font>
    <font>
      <sz val="12"/>
      <color rgb="FFFF0000"/>
      <name val="Century"/>
      <family val="1"/>
    </font>
    <font>
      <sz val="8"/>
      <name val="Century"/>
      <family val="1"/>
    </font>
    <font>
      <sz val="9"/>
      <name val="Century"/>
      <family val="1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5">
    <xf numFmtId="0" fontId="0" fillId="0" borderId="0"/>
    <xf numFmtId="0" fontId="3" fillId="0" borderId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17" fillId="0" borderId="0"/>
  </cellStyleXfs>
  <cellXfs count="341">
    <xf numFmtId="0" fontId="0" fillId="0" borderId="0" xfId="0"/>
    <xf numFmtId="0" fontId="0" fillId="0" borderId="0" xfId="0" applyFill="1"/>
    <xf numFmtId="0" fontId="2" fillId="0" borderId="0" xfId="0" applyFont="1" applyFill="1" applyAlignment="1">
      <alignment vertical="center"/>
    </xf>
    <xf numFmtId="0" fontId="0" fillId="0" borderId="10" xfId="0" applyFont="1" applyFill="1" applyBorder="1"/>
    <xf numFmtId="0" fontId="0" fillId="0" borderId="0" xfId="0" applyFont="1" applyFill="1" applyBorder="1"/>
    <xf numFmtId="0" fontId="0" fillId="0" borderId="13" xfId="0" applyFont="1" applyFill="1" applyBorder="1"/>
    <xf numFmtId="0" fontId="0" fillId="0" borderId="4" xfId="0" applyFont="1" applyFill="1" applyBorder="1"/>
    <xf numFmtId="0" fontId="0" fillId="0" borderId="5" xfId="0" applyFont="1" applyFill="1" applyBorder="1"/>
    <xf numFmtId="0" fontId="2" fillId="0" borderId="0" xfId="0" applyFont="1" applyFill="1"/>
    <xf numFmtId="0" fontId="0" fillId="0" borderId="0" xfId="0" applyFont="1" applyFill="1"/>
    <xf numFmtId="0" fontId="0" fillId="0" borderId="0" xfId="0" applyFont="1" applyFill="1" applyBorder="1" applyAlignment="1">
      <alignment horizontal="center"/>
    </xf>
    <xf numFmtId="2" fontId="0" fillId="0" borderId="0" xfId="0" applyNumberFormat="1" applyFont="1" applyFill="1" applyBorder="1"/>
    <xf numFmtId="0" fontId="0" fillId="0" borderId="6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5" xfId="0" applyFont="1" applyFill="1" applyBorder="1"/>
    <xf numFmtId="0" fontId="0" fillId="0" borderId="16" xfId="0" applyFont="1" applyFill="1" applyBorder="1"/>
    <xf numFmtId="2" fontId="0" fillId="0" borderId="16" xfId="0" applyNumberFormat="1" applyFont="1" applyFill="1" applyBorder="1"/>
    <xf numFmtId="2" fontId="0" fillId="0" borderId="19" xfId="0" applyNumberFormat="1" applyFont="1" applyFill="1" applyBorder="1"/>
    <xf numFmtId="0" fontId="0" fillId="0" borderId="17" xfId="0" applyFont="1" applyFill="1" applyBorder="1"/>
    <xf numFmtId="176" fontId="0" fillId="0" borderId="10" xfId="0" applyNumberFormat="1" applyFont="1" applyFill="1" applyBorder="1" applyAlignment="1">
      <alignment horizontal="center"/>
    </xf>
    <xf numFmtId="2" fontId="0" fillId="0" borderId="20" xfId="0" applyNumberFormat="1" applyFont="1" applyFill="1" applyBorder="1"/>
    <xf numFmtId="177" fontId="0" fillId="0" borderId="0" xfId="0" applyNumberFormat="1" applyFont="1" applyFill="1" applyBorder="1"/>
    <xf numFmtId="176" fontId="0" fillId="0" borderId="0" xfId="0" applyNumberFormat="1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0" fillId="0" borderId="21" xfId="0" applyFont="1" applyFill="1" applyBorder="1"/>
    <xf numFmtId="176" fontId="0" fillId="0" borderId="13" xfId="0" applyNumberFormat="1" applyFont="1" applyFill="1" applyBorder="1" applyAlignment="1">
      <alignment horizontal="center"/>
    </xf>
    <xf numFmtId="2" fontId="0" fillId="0" borderId="24" xfId="0" applyNumberFormat="1" applyFont="1" applyFill="1" applyBorder="1"/>
    <xf numFmtId="0" fontId="0" fillId="0" borderId="0" xfId="0" applyFont="1" applyFill="1" applyBorder="1" applyAlignment="1">
      <alignment horizontal="centerContinuous"/>
    </xf>
    <xf numFmtId="2" fontId="0" fillId="0" borderId="5" xfId="0" applyNumberFormat="1" applyFont="1" applyFill="1" applyBorder="1"/>
    <xf numFmtId="1" fontId="0" fillId="0" borderId="10" xfId="0" applyNumberFormat="1" applyFont="1" applyFill="1" applyBorder="1"/>
    <xf numFmtId="178" fontId="0" fillId="0" borderId="5" xfId="0" applyNumberFormat="1" applyFont="1" applyFill="1" applyBorder="1"/>
    <xf numFmtId="1" fontId="0" fillId="0" borderId="13" xfId="0" applyNumberFormat="1" applyFont="1" applyFill="1" applyBorder="1"/>
    <xf numFmtId="2" fontId="0" fillId="0" borderId="11" xfId="0" applyNumberFormat="1" applyFont="1" applyFill="1" applyBorder="1"/>
    <xf numFmtId="2" fontId="0" fillId="0" borderId="4" xfId="0" applyNumberFormat="1" applyFont="1" applyFill="1" applyBorder="1"/>
    <xf numFmtId="2" fontId="0" fillId="0" borderId="18" xfId="0" applyNumberFormat="1" applyFont="1" applyFill="1" applyBorder="1"/>
    <xf numFmtId="2" fontId="0" fillId="0" borderId="14" xfId="0" applyNumberFormat="1" applyFont="1" applyFill="1" applyBorder="1"/>
    <xf numFmtId="2" fontId="0" fillId="0" borderId="23" xfId="0" applyNumberFormat="1" applyFont="1" applyFill="1" applyBorder="1"/>
    <xf numFmtId="0" fontId="0" fillId="0" borderId="1" xfId="0" applyFont="1" applyFill="1" applyBorder="1" applyAlignment="1">
      <alignment horizontal="center" vertical="center"/>
    </xf>
    <xf numFmtId="0" fontId="0" fillId="0" borderId="14" xfId="0" applyFont="1" applyFill="1" applyBorder="1"/>
    <xf numFmtId="2" fontId="0" fillId="0" borderId="14" xfId="0" applyNumberFormat="1" applyFill="1" applyBorder="1"/>
    <xf numFmtId="179" fontId="0" fillId="0" borderId="7" xfId="0" applyNumberFormat="1" applyFont="1" applyFill="1" applyBorder="1"/>
    <xf numFmtId="179" fontId="0" fillId="0" borderId="7" xfId="0" applyNumberFormat="1" applyFont="1" applyFill="1" applyBorder="1" applyAlignment="1">
      <alignment horizontal="center"/>
    </xf>
    <xf numFmtId="2" fontId="0" fillId="0" borderId="2" xfId="0" applyNumberFormat="1" applyFont="1" applyFill="1" applyBorder="1"/>
    <xf numFmtId="2" fontId="0" fillId="0" borderId="12" xfId="0" applyNumberFormat="1" applyFon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0" fontId="0" fillId="0" borderId="21" xfId="0" applyFont="1" applyFill="1" applyBorder="1" applyAlignment="1">
      <alignment horizontal="left" vertical="center"/>
    </xf>
    <xf numFmtId="179" fontId="2" fillId="0" borderId="1" xfId="0" applyNumberFormat="1" applyFont="1" applyFill="1" applyBorder="1"/>
    <xf numFmtId="179" fontId="2" fillId="0" borderId="8" xfId="0" applyNumberFormat="1" applyFont="1" applyFill="1" applyBorder="1"/>
    <xf numFmtId="179" fontId="0" fillId="0" borderId="11" xfId="0" applyNumberFormat="1" applyFont="1" applyFill="1" applyBorder="1" applyAlignment="1">
      <alignment horizontal="center" vertical="center"/>
    </xf>
    <xf numFmtId="179" fontId="0" fillId="0" borderId="2" xfId="0" applyNumberFormat="1" applyFont="1" applyFill="1" applyBorder="1" applyAlignment="1">
      <alignment horizontal="center" vertical="center"/>
    </xf>
    <xf numFmtId="179" fontId="0" fillId="0" borderId="3" xfId="0" applyNumberFormat="1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2" fontId="0" fillId="0" borderId="10" xfId="0" applyNumberFormat="1" applyFill="1" applyBorder="1"/>
    <xf numFmtId="179" fontId="0" fillId="0" borderId="0" xfId="0" applyNumberFormat="1" applyFill="1"/>
    <xf numFmtId="2" fontId="0" fillId="0" borderId="0" xfId="0" applyNumberFormat="1" applyFill="1" applyBorder="1"/>
    <xf numFmtId="2" fontId="0" fillId="0" borderId="4" xfId="0" applyNumberFormat="1" applyFill="1" applyBorder="1"/>
    <xf numFmtId="1" fontId="0" fillId="0" borderId="10" xfId="0" applyNumberFormat="1" applyFill="1" applyBorder="1"/>
    <xf numFmtId="180" fontId="0" fillId="0" borderId="0" xfId="0" applyNumberFormat="1" applyFill="1"/>
    <xf numFmtId="0" fontId="4" fillId="0" borderId="0" xfId="1" applyFont="1" applyAlignment="1">
      <alignment vertical="center"/>
    </xf>
    <xf numFmtId="0" fontId="4" fillId="0" borderId="26" xfId="1" applyFont="1" applyBorder="1" applyAlignment="1">
      <alignment vertical="center"/>
    </xf>
    <xf numFmtId="0" fontId="4" fillId="0" borderId="0" xfId="1" applyFont="1" applyBorder="1" applyAlignment="1">
      <alignment vertical="center"/>
    </xf>
    <xf numFmtId="0" fontId="4" fillId="0" borderId="11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12" xfId="1" applyFont="1" applyBorder="1" applyAlignment="1">
      <alignment vertical="center"/>
    </xf>
    <xf numFmtId="0" fontId="4" fillId="0" borderId="25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28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0" fontId="4" fillId="0" borderId="24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8" fillId="0" borderId="7" xfId="1" applyFont="1" applyBorder="1" applyAlignment="1">
      <alignment vertical="center"/>
    </xf>
    <xf numFmtId="181" fontId="4" fillId="0" borderId="8" xfId="1" applyNumberFormat="1" applyFont="1" applyBorder="1" applyAlignment="1">
      <alignment vertical="center"/>
    </xf>
    <xf numFmtId="0" fontId="4" fillId="0" borderId="27" xfId="1" applyFont="1" applyBorder="1" applyAlignment="1">
      <alignment vertical="center"/>
    </xf>
    <xf numFmtId="0" fontId="10" fillId="0" borderId="11" xfId="1" applyFont="1" applyBorder="1" applyAlignment="1">
      <alignment horizontal="left" vertical="center"/>
    </xf>
    <xf numFmtId="0" fontId="10" fillId="0" borderId="7" xfId="1" applyFont="1" applyBorder="1" applyAlignment="1">
      <alignment vertical="center" wrapText="1"/>
    </xf>
    <xf numFmtId="0" fontId="10" fillId="0" borderId="22" xfId="1" applyFont="1" applyBorder="1" applyAlignment="1">
      <alignment vertical="center" wrapText="1"/>
    </xf>
    <xf numFmtId="0" fontId="10" fillId="0" borderId="26" xfId="1" applyFont="1" applyBorder="1" applyAlignment="1">
      <alignment vertical="center" wrapText="1"/>
    </xf>
    <xf numFmtId="0" fontId="12" fillId="0" borderId="26" xfId="1" applyFont="1" applyBorder="1" applyAlignment="1">
      <alignment horizontal="right" vertical="center"/>
    </xf>
    <xf numFmtId="0" fontId="4" fillId="0" borderId="11" xfId="1" applyFont="1" applyBorder="1" applyAlignment="1">
      <alignment vertical="center" wrapText="1"/>
    </xf>
    <xf numFmtId="0" fontId="4" fillId="0" borderId="7" xfId="1" applyFont="1" applyBorder="1" applyAlignment="1">
      <alignment vertical="center" wrapText="1"/>
    </xf>
    <xf numFmtId="0" fontId="9" fillId="0" borderId="25" xfId="1" applyFont="1" applyBorder="1" applyAlignment="1">
      <alignment horizontal="left" vertical="center"/>
    </xf>
    <xf numFmtId="0" fontId="4" fillId="0" borderId="0" xfId="1" applyFont="1" applyBorder="1" applyAlignment="1">
      <alignment vertical="center" wrapText="1"/>
    </xf>
    <xf numFmtId="0" fontId="13" fillId="0" borderId="7" xfId="1" applyFont="1" applyBorder="1" applyAlignment="1">
      <alignment vertical="center"/>
    </xf>
    <xf numFmtId="0" fontId="4" fillId="0" borderId="12" xfId="1" applyFont="1" applyBorder="1" applyAlignment="1">
      <alignment horizontal="right" vertical="center"/>
    </xf>
    <xf numFmtId="0" fontId="13" fillId="0" borderId="0" xfId="1" applyFont="1" applyBorder="1" applyAlignment="1">
      <alignment vertical="center"/>
    </xf>
    <xf numFmtId="177" fontId="4" fillId="0" borderId="0" xfId="1" applyNumberFormat="1" applyFont="1" applyBorder="1" applyAlignment="1">
      <alignment vertical="center"/>
    </xf>
    <xf numFmtId="182" fontId="4" fillId="0" borderId="0" xfId="1" applyNumberFormat="1" applyFont="1" applyBorder="1" applyAlignment="1">
      <alignment vertical="center"/>
    </xf>
    <xf numFmtId="183" fontId="4" fillId="0" borderId="0" xfId="1" applyNumberFormat="1" applyFont="1" applyBorder="1" applyAlignment="1">
      <alignment vertical="center"/>
    </xf>
    <xf numFmtId="0" fontId="14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0" fontId="8" fillId="0" borderId="0" xfId="1" applyFont="1" applyBorder="1" applyAlignment="1">
      <alignment vertical="center"/>
    </xf>
    <xf numFmtId="183" fontId="4" fillId="0" borderId="24" xfId="3" applyNumberFormat="1" applyFont="1" applyBorder="1" applyAlignment="1">
      <alignment horizontal="right" vertical="center" indent="1"/>
    </xf>
    <xf numFmtId="0" fontId="4" fillId="0" borderId="24" xfId="1" quotePrefix="1" applyFont="1" applyBorder="1" applyAlignment="1">
      <alignment horizontal="right" vertical="center" indent="1"/>
    </xf>
    <xf numFmtId="0" fontId="18" fillId="0" borderId="0" xfId="1" applyFont="1" applyAlignment="1">
      <alignment vertical="center"/>
    </xf>
    <xf numFmtId="178" fontId="4" fillId="0" borderId="0" xfId="1" applyNumberFormat="1" applyFont="1" applyBorder="1" applyAlignment="1">
      <alignment horizontal="center" vertical="center"/>
    </xf>
    <xf numFmtId="183" fontId="4" fillId="0" borderId="0" xfId="1" applyNumberFormat="1" applyFont="1" applyBorder="1" applyAlignment="1">
      <alignment horizontal="right" vertical="center" indent="3"/>
    </xf>
    <xf numFmtId="177" fontId="4" fillId="0" borderId="0" xfId="1" applyNumberFormat="1" applyFont="1" applyBorder="1" applyAlignment="1">
      <alignment horizontal="right" vertical="center" indent="3"/>
    </xf>
    <xf numFmtId="182" fontId="8" fillId="0" borderId="0" xfId="1" applyNumberFormat="1" applyFont="1" applyBorder="1" applyAlignment="1">
      <alignment horizontal="right" vertical="center" indent="3"/>
    </xf>
    <xf numFmtId="0" fontId="4" fillId="0" borderId="7" xfId="1" applyFont="1" applyBorder="1" applyAlignment="1">
      <alignment vertical="center" textRotation="90"/>
    </xf>
    <xf numFmtId="183" fontId="4" fillId="0" borderId="7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right" vertical="center"/>
    </xf>
    <xf numFmtId="0" fontId="4" fillId="0" borderId="0" xfId="1" quotePrefix="1" applyFont="1" applyBorder="1" applyAlignment="1">
      <alignment horizontal="right" vertical="center"/>
    </xf>
    <xf numFmtId="177" fontId="19" fillId="0" borderId="0" xfId="1" applyNumberFormat="1" applyFont="1" applyBorder="1" applyAlignment="1">
      <alignment horizontal="left" vertical="center" wrapText="1"/>
    </xf>
    <xf numFmtId="182" fontId="4" fillId="0" borderId="0" xfId="1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right" vertical="center"/>
    </xf>
    <xf numFmtId="0" fontId="19" fillId="0" borderId="0" xfId="1" applyFont="1" applyAlignment="1">
      <alignment vertical="center"/>
    </xf>
    <xf numFmtId="0" fontId="20" fillId="0" borderId="25" xfId="1" applyFont="1" applyBorder="1" applyAlignment="1">
      <alignment vertical="center"/>
    </xf>
    <xf numFmtId="0" fontId="21" fillId="0" borderId="0" xfId="4" applyFont="1"/>
    <xf numFmtId="177" fontId="19" fillId="0" borderId="0" xfId="1" applyNumberFormat="1" applyFont="1" applyBorder="1" applyAlignment="1">
      <alignment horizontal="center" vertical="center"/>
    </xf>
    <xf numFmtId="182" fontId="19" fillId="0" borderId="0" xfId="1" applyNumberFormat="1" applyFont="1" applyBorder="1" applyAlignment="1">
      <alignment horizontal="center" vertical="center"/>
    </xf>
    <xf numFmtId="183" fontId="19" fillId="0" borderId="0" xfId="1" applyNumberFormat="1" applyFont="1" applyBorder="1" applyAlignment="1">
      <alignment horizontal="center" vertical="center"/>
    </xf>
    <xf numFmtId="0" fontId="22" fillId="0" borderId="25" xfId="1" applyFont="1" applyBorder="1" applyAlignment="1">
      <alignment vertical="center"/>
    </xf>
    <xf numFmtId="0" fontId="23" fillId="0" borderId="0" xfId="4" quotePrefix="1" applyFont="1" applyAlignment="1">
      <alignment horizontal="left" indent="1"/>
    </xf>
    <xf numFmtId="177" fontId="4" fillId="0" borderId="0" xfId="1" applyNumberFormat="1" applyFont="1" applyBorder="1" applyAlignment="1">
      <alignment horizontal="left" vertical="center"/>
    </xf>
    <xf numFmtId="177" fontId="19" fillId="0" borderId="0" xfId="1" applyNumberFormat="1" applyFont="1" applyBorder="1" applyAlignment="1">
      <alignment horizontal="left" vertical="center"/>
    </xf>
    <xf numFmtId="0" fontId="19" fillId="0" borderId="0" xfId="1" applyFont="1" applyBorder="1" applyAlignment="1">
      <alignment vertical="center"/>
    </xf>
    <xf numFmtId="0" fontId="24" fillId="0" borderId="0" xfId="1" applyFont="1" applyBorder="1" applyAlignment="1">
      <alignment vertical="center"/>
    </xf>
    <xf numFmtId="0" fontId="19" fillId="0" borderId="0" xfId="1" applyFont="1" applyBorder="1" applyAlignment="1">
      <alignment horizontal="left" vertical="center"/>
    </xf>
    <xf numFmtId="0" fontId="4" fillId="0" borderId="24" xfId="1" applyFont="1" applyBorder="1" applyAlignment="1">
      <alignment horizontal="right" vertical="center"/>
    </xf>
    <xf numFmtId="0" fontId="4" fillId="0" borderId="22" xfId="1" applyFont="1" applyBorder="1" applyAlignment="1">
      <alignment vertical="center"/>
    </xf>
    <xf numFmtId="0" fontId="19" fillId="0" borderId="26" xfId="1" applyFont="1" applyBorder="1" applyAlignment="1">
      <alignment vertical="center"/>
    </xf>
    <xf numFmtId="0" fontId="19" fillId="0" borderId="26" xfId="1" applyFont="1" applyBorder="1" applyAlignment="1">
      <alignment horizontal="left" vertical="center"/>
    </xf>
    <xf numFmtId="0" fontId="4" fillId="0" borderId="27" xfId="1" applyFont="1" applyBorder="1" applyAlignment="1">
      <alignment horizontal="right" vertical="center"/>
    </xf>
    <xf numFmtId="0" fontId="25" fillId="0" borderId="26" xfId="1" applyFont="1" applyBorder="1" applyAlignment="1">
      <alignment vertical="center" textRotation="90" wrapText="1"/>
    </xf>
    <xf numFmtId="0" fontId="4" fillId="0" borderId="26" xfId="1" applyFont="1" applyBorder="1" applyAlignment="1">
      <alignment horizontal="left" vertical="center"/>
    </xf>
    <xf numFmtId="0" fontId="4" fillId="0" borderId="0" xfId="1" applyFont="1" applyBorder="1" applyAlignment="1">
      <alignment horizontal="center" vertical="center" textRotation="90" wrapText="1"/>
    </xf>
    <xf numFmtId="0" fontId="4" fillId="0" borderId="26" xfId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4" fillId="0" borderId="0" xfId="1" applyFont="1"/>
    <xf numFmtId="0" fontId="4" fillId="0" borderId="2" xfId="1" applyFont="1" applyBorder="1" applyAlignment="1">
      <alignment horizontal="left"/>
    </xf>
    <xf numFmtId="0" fontId="4" fillId="0" borderId="0" xfId="1" applyFont="1" applyBorder="1" applyAlignment="1">
      <alignment horizontal="left"/>
    </xf>
    <xf numFmtId="0" fontId="4" fillId="0" borderId="6" xfId="1" applyFont="1" applyBorder="1" applyAlignment="1">
      <alignment horizontal="center"/>
    </xf>
    <xf numFmtId="0" fontId="26" fillId="0" borderId="6" xfId="1" applyFont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4" fillId="0" borderId="13" xfId="1" applyFont="1" applyBorder="1"/>
    <xf numFmtId="0" fontId="4" fillId="0" borderId="13" xfId="1" applyFont="1" applyBorder="1" applyAlignment="1">
      <alignment horizontal="center" vertical="center"/>
    </xf>
    <xf numFmtId="0" fontId="4" fillId="0" borderId="0" xfId="1" applyFont="1" applyBorder="1"/>
    <xf numFmtId="0" fontId="4" fillId="0" borderId="6" xfId="1" applyFont="1" applyBorder="1" applyAlignment="1">
      <alignment horizontal="right"/>
    </xf>
    <xf numFmtId="0" fontId="4" fillId="0" borderId="0" xfId="1" applyFont="1" applyBorder="1" applyAlignment="1">
      <alignment horizontal="right"/>
    </xf>
    <xf numFmtId="0" fontId="4" fillId="0" borderId="34" xfId="1" applyFont="1" applyBorder="1" applyAlignment="1">
      <alignment horizontal="center"/>
    </xf>
    <xf numFmtId="0" fontId="4" fillId="0" borderId="35" xfId="1" applyFont="1" applyBorder="1"/>
    <xf numFmtId="0" fontId="4" fillId="0" borderId="36" xfId="1" applyFont="1" applyBorder="1"/>
    <xf numFmtId="0" fontId="4" fillId="0" borderId="37" xfId="1" applyFont="1" applyBorder="1" applyAlignment="1">
      <alignment horizontal="center"/>
    </xf>
    <xf numFmtId="0" fontId="4" fillId="0" borderId="38" xfId="1" applyFont="1" applyBorder="1"/>
    <xf numFmtId="0" fontId="4" fillId="0" borderId="39" xfId="1" applyFont="1" applyBorder="1"/>
    <xf numFmtId="0" fontId="4" fillId="0" borderId="40" xfId="1" applyFont="1" applyBorder="1" applyAlignment="1">
      <alignment horizontal="center"/>
    </xf>
    <xf numFmtId="0" fontId="4" fillId="0" borderId="41" xfId="1" applyFont="1" applyBorder="1"/>
    <xf numFmtId="0" fontId="4" fillId="0" borderId="42" xfId="1" applyFont="1" applyBorder="1"/>
    <xf numFmtId="0" fontId="4" fillId="0" borderId="3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28" xfId="1" applyFont="1" applyBorder="1" applyAlignment="1">
      <alignment horizontal="center"/>
    </xf>
    <xf numFmtId="0" fontId="4" fillId="0" borderId="0" xfId="0" applyFont="1" applyBorder="1" applyAlignment="1">
      <alignment vertical="center"/>
    </xf>
    <xf numFmtId="0" fontId="9" fillId="0" borderId="0" xfId="1" applyFont="1" applyBorder="1" applyAlignment="1">
      <alignment vertical="top"/>
    </xf>
    <xf numFmtId="0" fontId="4" fillId="0" borderId="12" xfId="1" applyFont="1" applyBorder="1" applyAlignment="1">
      <alignment vertical="center" wrapText="1"/>
    </xf>
    <xf numFmtId="0" fontId="4" fillId="0" borderId="25" xfId="1" applyFont="1" applyBorder="1" applyAlignment="1">
      <alignment vertical="center" wrapText="1"/>
    </xf>
    <xf numFmtId="0" fontId="4" fillId="0" borderId="24" xfId="1" applyFont="1" applyBorder="1" applyAlignment="1">
      <alignment vertical="center" wrapText="1"/>
    </xf>
    <xf numFmtId="0" fontId="4" fillId="0" borderId="22" xfId="1" applyFont="1" applyBorder="1" applyAlignment="1">
      <alignment vertical="center" wrapText="1"/>
    </xf>
    <xf numFmtId="0" fontId="4" fillId="0" borderId="26" xfId="1" applyFont="1" applyBorder="1" applyAlignment="1">
      <alignment vertical="center" wrapText="1"/>
    </xf>
    <xf numFmtId="0" fontId="4" fillId="0" borderId="27" xfId="1" applyFont="1" applyBorder="1" applyAlignment="1">
      <alignment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24" xfId="0" applyFont="1" applyFill="1" applyBorder="1" applyAlignment="1">
      <alignment horizontal="center" vertical="center"/>
    </xf>
    <xf numFmtId="179" fontId="0" fillId="0" borderId="13" xfId="0" applyNumberFormat="1" applyFont="1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179" fontId="2" fillId="0" borderId="24" xfId="0" applyNumberFormat="1" applyFont="1" applyFill="1" applyBorder="1"/>
    <xf numFmtId="0" fontId="0" fillId="0" borderId="2" xfId="0" applyFont="1" applyFill="1" applyBorder="1" applyAlignment="1">
      <alignment horizontal="center" vertical="center" shrinkToFit="1"/>
    </xf>
    <xf numFmtId="182" fontId="0" fillId="0" borderId="4" xfId="0" applyNumberFormat="1" applyFont="1" applyFill="1" applyBorder="1"/>
    <xf numFmtId="182" fontId="0" fillId="0" borderId="14" xfId="0" applyNumberFormat="1" applyFont="1" applyFill="1" applyBorder="1"/>
    <xf numFmtId="182" fontId="0" fillId="0" borderId="5" xfId="0" applyNumberFormat="1" applyFont="1" applyFill="1" applyBorder="1"/>
    <xf numFmtId="182" fontId="0" fillId="0" borderId="10" xfId="0" applyNumberFormat="1" applyFont="1" applyFill="1" applyBorder="1"/>
    <xf numFmtId="182" fontId="0" fillId="0" borderId="13" xfId="0" applyNumberFormat="1" applyFont="1" applyFill="1" applyBorder="1"/>
    <xf numFmtId="176" fontId="0" fillId="2" borderId="4" xfId="0" applyNumberFormat="1" applyFont="1" applyFill="1" applyBorder="1" applyAlignment="1">
      <alignment horizontal="center"/>
    </xf>
    <xf numFmtId="176" fontId="0" fillId="2" borderId="14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76" fontId="0" fillId="2" borderId="5" xfId="0" applyNumberFormat="1" applyFont="1" applyFill="1" applyBorder="1" applyAlignment="1">
      <alignment horizontal="center"/>
    </xf>
    <xf numFmtId="176" fontId="0" fillId="3" borderId="14" xfId="0" applyNumberFormat="1" applyFont="1" applyFill="1" applyBorder="1" applyAlignment="1">
      <alignment horizontal="center"/>
    </xf>
    <xf numFmtId="182" fontId="0" fillId="3" borderId="14" xfId="0" applyNumberFormat="1" applyFont="1" applyFill="1" applyBorder="1"/>
    <xf numFmtId="0" fontId="4" fillId="0" borderId="28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177" fontId="4" fillId="0" borderId="0" xfId="1" applyNumberFormat="1" applyFont="1" applyBorder="1" applyAlignment="1">
      <alignment horizontal="center" vertical="center"/>
    </xf>
    <xf numFmtId="183" fontId="4" fillId="0" borderId="0" xfId="1" applyNumberFormat="1" applyFont="1" applyBorder="1" applyAlignment="1">
      <alignment horizontal="center" vertical="center"/>
    </xf>
    <xf numFmtId="177" fontId="4" fillId="0" borderId="7" xfId="1" applyNumberFormat="1" applyFont="1" applyBorder="1" applyAlignment="1">
      <alignment horizontal="center" vertical="center"/>
    </xf>
    <xf numFmtId="182" fontId="4" fillId="0" borderId="7" xfId="1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left" vertical="center"/>
    </xf>
    <xf numFmtId="0" fontId="4" fillId="0" borderId="0" xfId="1" applyFont="1" applyBorder="1" applyAlignment="1">
      <alignment horizontal="right" vertical="center"/>
    </xf>
    <xf numFmtId="181" fontId="4" fillId="0" borderId="28" xfId="1" applyNumberFormat="1" applyFont="1" applyBorder="1" applyAlignment="1">
      <alignment horizontal="center" vertical="center"/>
    </xf>
    <xf numFmtId="0" fontId="4" fillId="0" borderId="26" xfId="1" applyFont="1" applyBorder="1" applyAlignment="1">
      <alignment horizontal="right" vertical="center"/>
    </xf>
    <xf numFmtId="0" fontId="0" fillId="2" borderId="0" xfId="0" applyFill="1"/>
    <xf numFmtId="181" fontId="4" fillId="0" borderId="28" xfId="1" applyNumberFormat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4" fillId="0" borderId="26" xfId="1" applyFont="1" applyBorder="1" applyAlignment="1">
      <alignment horizontal="right" vertical="center"/>
    </xf>
    <xf numFmtId="0" fontId="4" fillId="0" borderId="0" xfId="1" applyFont="1" applyBorder="1" applyAlignment="1">
      <alignment horizontal="right" vertical="center"/>
    </xf>
    <xf numFmtId="0" fontId="4" fillId="0" borderId="0" xfId="1" applyFont="1" applyBorder="1" applyAlignment="1">
      <alignment horizontal="left" vertical="center"/>
    </xf>
    <xf numFmtId="0" fontId="4" fillId="0" borderId="0" xfId="1" applyFont="1" applyBorder="1" applyAlignment="1">
      <alignment horizontal="center" vertical="center"/>
    </xf>
    <xf numFmtId="177" fontId="4" fillId="0" borderId="0" xfId="1" applyNumberFormat="1" applyFont="1" applyBorder="1" applyAlignment="1">
      <alignment horizontal="center" vertical="center"/>
    </xf>
    <xf numFmtId="183" fontId="4" fillId="0" borderId="0" xfId="1" applyNumberFormat="1" applyFont="1" applyBorder="1" applyAlignment="1">
      <alignment horizontal="center" vertical="center"/>
    </xf>
    <xf numFmtId="182" fontId="8" fillId="0" borderId="0" xfId="1" applyNumberFormat="1" applyFont="1" applyBorder="1" applyAlignment="1">
      <alignment horizontal="center" vertical="center"/>
    </xf>
    <xf numFmtId="177" fontId="4" fillId="0" borderId="7" xfId="1" applyNumberFormat="1" applyFont="1" applyBorder="1" applyAlignment="1">
      <alignment horizontal="center" vertical="center"/>
    </xf>
    <xf numFmtId="182" fontId="4" fillId="0" borderId="7" xfId="1" applyNumberFormat="1" applyFont="1" applyBorder="1" applyAlignment="1">
      <alignment horizontal="center" vertical="center"/>
    </xf>
    <xf numFmtId="0" fontId="0" fillId="0" borderId="14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26" xfId="0" applyFont="1" applyFill="1" applyBorder="1"/>
    <xf numFmtId="2" fontId="0" fillId="0" borderId="10" xfId="0" applyNumberFormat="1" applyFont="1" applyFill="1" applyBorder="1"/>
    <xf numFmtId="176" fontId="0" fillId="0" borderId="4" xfId="0" applyNumberFormat="1" applyFont="1" applyFill="1" applyBorder="1" applyAlignment="1">
      <alignment horizontal="center"/>
    </xf>
    <xf numFmtId="176" fontId="0" fillId="0" borderId="14" xfId="0" applyNumberFormat="1" applyFont="1" applyFill="1" applyBorder="1" applyAlignment="1">
      <alignment horizontal="center"/>
    </xf>
    <xf numFmtId="176" fontId="0" fillId="0" borderId="5" xfId="0" applyNumberFormat="1" applyFont="1" applyFill="1" applyBorder="1" applyAlignment="1">
      <alignment horizontal="center"/>
    </xf>
    <xf numFmtId="186" fontId="0" fillId="0" borderId="5" xfId="0" applyNumberFormat="1" applyFont="1" applyFill="1" applyBorder="1" applyAlignment="1">
      <alignment horizontal="center"/>
    </xf>
    <xf numFmtId="187" fontId="0" fillId="0" borderId="5" xfId="0" applyNumberFormat="1" applyFont="1" applyFill="1" applyBorder="1" applyAlignment="1">
      <alignment horizontal="center"/>
    </xf>
    <xf numFmtId="196" fontId="0" fillId="0" borderId="14" xfId="0" applyNumberFormat="1" applyFont="1" applyFill="1" applyBorder="1" applyAlignment="1">
      <alignment horizontal="center"/>
    </xf>
    <xf numFmtId="189" fontId="0" fillId="0" borderId="14" xfId="0" applyNumberFormat="1" applyFont="1" applyFill="1" applyBorder="1" applyAlignment="1">
      <alignment horizontal="center"/>
    </xf>
    <xf numFmtId="198" fontId="0" fillId="0" borderId="14" xfId="0" applyNumberFormat="1" applyFont="1" applyFill="1" applyBorder="1" applyAlignment="1">
      <alignment horizontal="center"/>
    </xf>
    <xf numFmtId="190" fontId="0" fillId="0" borderId="14" xfId="0" applyNumberFormat="1" applyFont="1" applyFill="1" applyBorder="1" applyAlignment="1">
      <alignment horizontal="center"/>
    </xf>
    <xf numFmtId="191" fontId="0" fillId="0" borderId="14" xfId="0" applyNumberFormat="1" applyFont="1" applyFill="1" applyBorder="1" applyAlignment="1">
      <alignment horizontal="center"/>
    </xf>
    <xf numFmtId="192" fontId="0" fillId="0" borderId="14" xfId="0" applyNumberFormat="1" applyFont="1" applyFill="1" applyBorder="1" applyAlignment="1">
      <alignment horizontal="center"/>
    </xf>
    <xf numFmtId="193" fontId="0" fillId="0" borderId="14" xfId="0" applyNumberFormat="1" applyFont="1" applyFill="1" applyBorder="1" applyAlignment="1">
      <alignment horizontal="center"/>
    </xf>
    <xf numFmtId="194" fontId="0" fillId="0" borderId="14" xfId="0" applyNumberFormat="1" applyFont="1" applyFill="1" applyBorder="1" applyAlignment="1">
      <alignment horizontal="center"/>
    </xf>
    <xf numFmtId="195" fontId="0" fillId="0" borderId="14" xfId="0" applyNumberFormat="1" applyFont="1" applyFill="1" applyBorder="1" applyAlignment="1">
      <alignment horizontal="center"/>
    </xf>
    <xf numFmtId="176" fontId="27" fillId="0" borderId="14" xfId="0" applyNumberFormat="1" applyFont="1" applyFill="1" applyBorder="1" applyAlignment="1">
      <alignment horizontal="center"/>
    </xf>
    <xf numFmtId="197" fontId="0" fillId="0" borderId="14" xfId="0" applyNumberFormat="1" applyFont="1" applyFill="1" applyBorder="1" applyAlignment="1">
      <alignment horizontal="center"/>
    </xf>
    <xf numFmtId="0" fontId="4" fillId="0" borderId="0" xfId="1" applyFont="1" applyBorder="1" applyAlignment="1">
      <alignment horizontal="center" vertical="center"/>
    </xf>
    <xf numFmtId="0" fontId="14" fillId="0" borderId="0" xfId="1" applyFont="1" applyBorder="1" applyAlignment="1">
      <alignment vertical="center"/>
    </xf>
    <xf numFmtId="0" fontId="15" fillId="0" borderId="0" xfId="1" applyFont="1" applyBorder="1" applyAlignment="1">
      <alignment vertical="center"/>
    </xf>
    <xf numFmtId="10" fontId="4" fillId="0" borderId="0" xfId="1" applyNumberFormat="1" applyFont="1" applyAlignment="1">
      <alignment vertical="center"/>
    </xf>
    <xf numFmtId="0" fontId="28" fillId="0" borderId="1" xfId="1" applyFont="1" applyBorder="1" applyAlignment="1">
      <alignment vertical="center"/>
    </xf>
    <xf numFmtId="177" fontId="4" fillId="0" borderId="0" xfId="1" applyNumberFormat="1" applyFont="1" applyAlignment="1">
      <alignment vertical="center"/>
    </xf>
    <xf numFmtId="0" fontId="4" fillId="0" borderId="0" xfId="1" applyFont="1" applyAlignment="1">
      <alignment horizontal="right" vertical="center"/>
    </xf>
    <xf numFmtId="200" fontId="5" fillId="0" borderId="0" xfId="1" applyNumberFormat="1" applyFont="1" applyBorder="1" applyAlignment="1">
      <alignment vertical="center"/>
    </xf>
    <xf numFmtId="200" fontId="4" fillId="0" borderId="0" xfId="1" applyNumberFormat="1" applyFont="1" applyBorder="1" applyAlignment="1">
      <alignment vertical="center"/>
    </xf>
    <xf numFmtId="0" fontId="4" fillId="0" borderId="0" xfId="1" applyFont="1" applyBorder="1" applyAlignment="1">
      <alignment horizontal="right" vertical="center"/>
    </xf>
    <xf numFmtId="179" fontId="0" fillId="0" borderId="7" xfId="0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28" fillId="0" borderId="0" xfId="1" applyFont="1" applyBorder="1" applyAlignment="1">
      <alignment horizontal="right" vertical="center"/>
    </xf>
    <xf numFmtId="202" fontId="4" fillId="0" borderId="0" xfId="1" applyNumberFormat="1" applyFont="1" applyAlignment="1">
      <alignment vertical="center"/>
    </xf>
    <xf numFmtId="203" fontId="0" fillId="0" borderId="14" xfId="0" applyNumberFormat="1" applyFont="1" applyFill="1" applyBorder="1" applyAlignment="1">
      <alignment horizontal="center" wrapText="1"/>
    </xf>
    <xf numFmtId="176" fontId="0" fillId="2" borderId="10" xfId="0" applyNumberFormat="1" applyFont="1" applyFill="1" applyBorder="1" applyAlignment="1">
      <alignment horizontal="center"/>
    </xf>
    <xf numFmtId="0" fontId="0" fillId="2" borderId="14" xfId="0" applyNumberFormat="1" applyFont="1" applyFill="1" applyBorder="1" applyAlignment="1">
      <alignment horizontal="center"/>
    </xf>
    <xf numFmtId="0" fontId="0" fillId="3" borderId="5" xfId="0" applyFont="1" applyFill="1" applyBorder="1"/>
    <xf numFmtId="2" fontId="0" fillId="0" borderId="13" xfId="0" applyNumberFormat="1" applyFont="1" applyFill="1" applyBorder="1"/>
    <xf numFmtId="0" fontId="0" fillId="3" borderId="14" xfId="0" applyFont="1" applyFill="1" applyBorder="1"/>
    <xf numFmtId="204" fontId="0" fillId="3" borderId="14" xfId="0" applyNumberFormat="1" applyFont="1" applyFill="1" applyBorder="1" applyAlignment="1">
      <alignment horizontal="center"/>
    </xf>
    <xf numFmtId="177" fontId="4" fillId="0" borderId="0" xfId="1" applyNumberFormat="1" applyFont="1" applyBorder="1" applyAlignment="1">
      <alignment horizontal="center" vertical="center"/>
    </xf>
    <xf numFmtId="10" fontId="4" fillId="0" borderId="0" xfId="1" applyNumberFormat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 shrinkToFit="1"/>
    </xf>
    <xf numFmtId="0" fontId="4" fillId="0" borderId="0" xfId="1" applyFont="1" applyBorder="1" applyAlignment="1">
      <alignment horizontal="center" vertical="center" shrinkToFit="1"/>
    </xf>
    <xf numFmtId="10" fontId="4" fillId="0" borderId="25" xfId="1" applyNumberFormat="1" applyFont="1" applyBorder="1" applyAlignment="1">
      <alignment horizontal="center" vertical="center"/>
    </xf>
    <xf numFmtId="182" fontId="8" fillId="0" borderId="0" xfId="1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10" fontId="4" fillId="0" borderId="15" xfId="1" applyNumberFormat="1" applyFont="1" applyBorder="1" applyAlignment="1">
      <alignment horizontal="center" vertical="center"/>
    </xf>
    <xf numFmtId="10" fontId="4" fillId="0" borderId="18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textRotation="90" wrapText="1"/>
    </xf>
    <xf numFmtId="0" fontId="4" fillId="0" borderId="13" xfId="1" applyFont="1" applyBorder="1" applyAlignment="1">
      <alignment horizontal="center" vertical="center" textRotation="90" wrapText="1"/>
    </xf>
    <xf numFmtId="0" fontId="4" fillId="0" borderId="6" xfId="1" applyFont="1" applyBorder="1" applyAlignment="1">
      <alignment horizontal="center" vertical="center" textRotation="90" wrapText="1"/>
    </xf>
    <xf numFmtId="0" fontId="4" fillId="0" borderId="13" xfId="1" applyFont="1" applyBorder="1" applyAlignment="1">
      <alignment horizontal="center" vertical="center" textRotation="90" shrinkToFit="1"/>
    </xf>
    <xf numFmtId="0" fontId="4" fillId="0" borderId="6" xfId="1" applyFont="1" applyBorder="1" applyAlignment="1">
      <alignment horizontal="center" vertical="center" textRotation="90" shrinkToFit="1"/>
    </xf>
    <xf numFmtId="183" fontId="4" fillId="0" borderId="0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177" fontId="4" fillId="0" borderId="7" xfId="1" applyNumberFormat="1" applyFont="1" applyBorder="1" applyAlignment="1">
      <alignment horizontal="center" vertical="center"/>
    </xf>
    <xf numFmtId="182" fontId="4" fillId="0" borderId="7" xfId="1" applyNumberFormat="1" applyFont="1" applyBorder="1" applyAlignment="1">
      <alignment horizontal="center" vertical="center"/>
    </xf>
    <xf numFmtId="0" fontId="9" fillId="0" borderId="0" xfId="1" applyFont="1" applyBorder="1" applyAlignment="1">
      <alignment vertical="center" wrapText="1"/>
    </xf>
    <xf numFmtId="0" fontId="4" fillId="0" borderId="0" xfId="1" applyFont="1" applyBorder="1" applyAlignment="1">
      <alignment horizontal="left" vertical="center"/>
    </xf>
    <xf numFmtId="184" fontId="4" fillId="0" borderId="0" xfId="1" applyNumberFormat="1" applyFont="1" applyBorder="1" applyAlignment="1">
      <alignment horizontal="center" vertical="center"/>
    </xf>
    <xf numFmtId="185" fontId="8" fillId="0" borderId="0" xfId="1" applyNumberFormat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177" fontId="16" fillId="0" borderId="0" xfId="1" applyNumberFormat="1" applyFont="1" applyBorder="1" applyAlignment="1">
      <alignment horizontal="center" vertical="center"/>
    </xf>
    <xf numFmtId="177" fontId="4" fillId="0" borderId="3" xfId="1" applyNumberFormat="1" applyFont="1" applyBorder="1" applyAlignment="1">
      <alignment horizontal="center" vertical="center"/>
    </xf>
    <xf numFmtId="177" fontId="4" fillId="0" borderId="8" xfId="1" applyNumberFormat="1" applyFont="1" applyBorder="1" applyAlignment="1">
      <alignment horizontal="center" vertical="center"/>
    </xf>
    <xf numFmtId="10" fontId="4" fillId="0" borderId="3" xfId="1" applyNumberFormat="1" applyFont="1" applyBorder="1" applyAlignment="1">
      <alignment horizontal="center" vertical="center"/>
    </xf>
    <xf numFmtId="10" fontId="4" fillId="0" borderId="8" xfId="1" applyNumberFormat="1" applyFont="1" applyBorder="1" applyAlignment="1">
      <alignment horizontal="center" vertical="center"/>
    </xf>
    <xf numFmtId="177" fontId="4" fillId="0" borderId="15" xfId="1" applyNumberFormat="1" applyFont="1" applyBorder="1" applyAlignment="1">
      <alignment horizontal="center" vertical="center"/>
    </xf>
    <xf numFmtId="177" fontId="4" fillId="0" borderId="18" xfId="1" applyNumberFormat="1" applyFont="1" applyBorder="1" applyAlignment="1">
      <alignment horizontal="center" vertical="center"/>
    </xf>
    <xf numFmtId="0" fontId="19" fillId="0" borderId="0" xfId="1" applyFont="1" applyBorder="1" applyAlignment="1">
      <alignment horizontal="left" vertical="center"/>
    </xf>
    <xf numFmtId="0" fontId="4" fillId="0" borderId="28" xfId="1" applyFont="1" applyBorder="1" applyAlignment="1">
      <alignment horizontal="center" vertical="center"/>
    </xf>
    <xf numFmtId="177" fontId="4" fillId="0" borderId="31" xfId="1" applyNumberFormat="1" applyFont="1" applyBorder="1" applyAlignment="1">
      <alignment horizontal="center" vertical="center"/>
    </xf>
    <xf numFmtId="177" fontId="4" fillId="0" borderId="32" xfId="1" applyNumberFormat="1" applyFont="1" applyBorder="1" applyAlignment="1">
      <alignment horizontal="center" vertical="center"/>
    </xf>
    <xf numFmtId="182" fontId="8" fillId="0" borderId="31" xfId="1" applyNumberFormat="1" applyFont="1" applyBorder="1" applyAlignment="1">
      <alignment horizontal="center" vertical="center"/>
    </xf>
    <xf numFmtId="182" fontId="8" fillId="0" borderId="33" xfId="1" applyNumberFormat="1" applyFont="1" applyBorder="1" applyAlignment="1">
      <alignment horizontal="center" vertical="center"/>
    </xf>
    <xf numFmtId="201" fontId="4" fillId="0" borderId="0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 textRotation="90"/>
    </xf>
    <xf numFmtId="0" fontId="7" fillId="0" borderId="13" xfId="1" applyFont="1" applyBorder="1" applyAlignment="1">
      <alignment horizontal="center" vertical="center" textRotation="90"/>
    </xf>
    <xf numFmtId="0" fontId="7" fillId="0" borderId="6" xfId="1" applyFont="1" applyBorder="1" applyAlignment="1">
      <alignment horizontal="center" vertical="center" textRotation="90"/>
    </xf>
    <xf numFmtId="181" fontId="4" fillId="0" borderId="3" xfId="1" applyNumberFormat="1" applyFont="1" applyBorder="1" applyAlignment="1">
      <alignment horizontal="center" vertical="center"/>
    </xf>
    <xf numFmtId="181" fontId="4" fillId="0" borderId="28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shrinkToFit="1"/>
    </xf>
    <xf numFmtId="0" fontId="4" fillId="0" borderId="28" xfId="1" applyFont="1" applyBorder="1" applyAlignment="1">
      <alignment horizontal="center" vertical="center" shrinkToFit="1"/>
    </xf>
    <xf numFmtId="0" fontId="4" fillId="0" borderId="8" xfId="1" applyFont="1" applyBorder="1" applyAlignment="1">
      <alignment horizontal="center" vertical="center" shrinkToFit="1"/>
    </xf>
    <xf numFmtId="0" fontId="7" fillId="0" borderId="11" xfId="1" applyFont="1" applyBorder="1" applyAlignment="1">
      <alignment horizontal="center" vertical="center" textRotation="90"/>
    </xf>
    <xf numFmtId="0" fontId="7" fillId="0" borderId="25" xfId="1" applyFont="1" applyBorder="1" applyAlignment="1">
      <alignment horizontal="center" vertical="center" textRotation="90"/>
    </xf>
    <xf numFmtId="0" fontId="7" fillId="0" borderId="22" xfId="1" applyFont="1" applyBorder="1" applyAlignment="1">
      <alignment horizontal="center" vertical="center" textRotation="90"/>
    </xf>
    <xf numFmtId="0" fontId="4" fillId="0" borderId="22" xfId="1" applyFont="1" applyBorder="1" applyAlignment="1">
      <alignment horizontal="right" vertical="center"/>
    </xf>
    <xf numFmtId="0" fontId="4" fillId="0" borderId="26" xfId="1" applyFont="1" applyBorder="1" applyAlignment="1">
      <alignment horizontal="right" vertical="center"/>
    </xf>
    <xf numFmtId="0" fontId="4" fillId="0" borderId="0" xfId="1" applyFont="1" applyBorder="1" applyAlignment="1">
      <alignment horizontal="right" vertical="center"/>
    </xf>
    <xf numFmtId="0" fontId="4" fillId="0" borderId="2" xfId="1" applyFont="1" applyBorder="1" applyAlignment="1">
      <alignment horizontal="center" vertical="center" textRotation="90"/>
    </xf>
    <xf numFmtId="0" fontId="4" fillId="0" borderId="13" xfId="1" applyFont="1" applyBorder="1" applyAlignment="1">
      <alignment horizontal="center" vertical="center" textRotation="90"/>
    </xf>
    <xf numFmtId="0" fontId="4" fillId="0" borderId="6" xfId="1" applyFont="1" applyBorder="1" applyAlignment="1">
      <alignment horizontal="center" vertical="center" textRotation="90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9" fillId="0" borderId="15" xfId="1" applyFont="1" applyBorder="1" applyAlignment="1">
      <alignment vertical="center" wrapText="1"/>
    </xf>
    <xf numFmtId="0" fontId="9" fillId="0" borderId="18" xfId="1" applyFont="1" applyBorder="1" applyAlignment="1">
      <alignment vertical="center" wrapText="1"/>
    </xf>
    <xf numFmtId="199" fontId="8" fillId="0" borderId="15" xfId="1" applyNumberFormat="1" applyFont="1" applyBorder="1" applyAlignment="1">
      <alignment horizontal="center" vertical="center"/>
    </xf>
    <xf numFmtId="199" fontId="8" fillId="0" borderId="18" xfId="1" applyNumberFormat="1" applyFont="1" applyBorder="1" applyAlignment="1">
      <alignment horizontal="center" vertical="center"/>
    </xf>
    <xf numFmtId="0" fontId="4" fillId="0" borderId="17" xfId="1" applyFont="1" applyBorder="1" applyAlignment="1">
      <alignment horizontal="left" vertical="center"/>
    </xf>
    <xf numFmtId="0" fontId="4" fillId="0" borderId="20" xfId="1" applyFont="1" applyBorder="1" applyAlignment="1">
      <alignment horizontal="left" vertical="center"/>
    </xf>
    <xf numFmtId="177" fontId="4" fillId="0" borderId="29" xfId="1" applyNumberFormat="1" applyFont="1" applyBorder="1" applyAlignment="1">
      <alignment horizontal="center" vertical="center"/>
    </xf>
    <xf numFmtId="177" fontId="4" fillId="0" borderId="30" xfId="1" applyNumberFormat="1" applyFont="1" applyBorder="1" applyAlignment="1">
      <alignment horizontal="center" vertical="center"/>
    </xf>
    <xf numFmtId="199" fontId="8" fillId="0" borderId="21" xfId="1" applyNumberFormat="1" applyFont="1" applyBorder="1" applyAlignment="1">
      <alignment horizontal="center" vertical="center"/>
    </xf>
    <xf numFmtId="199" fontId="8" fillId="0" borderId="23" xfId="1" applyNumberFormat="1" applyFont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left" vertical="center"/>
    </xf>
    <xf numFmtId="0" fontId="0" fillId="0" borderId="14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22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182" fontId="8" fillId="0" borderId="15" xfId="1" applyNumberFormat="1" applyFont="1" applyBorder="1" applyAlignment="1">
      <alignment horizontal="center" vertical="center"/>
    </xf>
    <xf numFmtId="182" fontId="8" fillId="0" borderId="18" xfId="1" applyNumberFormat="1" applyFont="1" applyBorder="1" applyAlignment="1">
      <alignment horizontal="center" vertical="center"/>
    </xf>
    <xf numFmtId="182" fontId="8" fillId="0" borderId="21" xfId="1" applyNumberFormat="1" applyFont="1" applyBorder="1" applyAlignment="1">
      <alignment horizontal="center" vertical="center"/>
    </xf>
    <xf numFmtId="182" fontId="8" fillId="0" borderId="23" xfId="1" applyNumberFormat="1" applyFont="1" applyBorder="1" applyAlignment="1">
      <alignment horizontal="center" vertical="center"/>
    </xf>
    <xf numFmtId="177" fontId="4" fillId="0" borderId="17" xfId="1" applyNumberFormat="1" applyFont="1" applyBorder="1" applyAlignment="1">
      <alignment horizontal="center" vertical="center"/>
    </xf>
    <xf numFmtId="177" fontId="4" fillId="0" borderId="20" xfId="1" applyNumberFormat="1" applyFont="1" applyBorder="1" applyAlignment="1">
      <alignment horizontal="center" vertical="center"/>
    </xf>
    <xf numFmtId="10" fontId="4" fillId="0" borderId="17" xfId="1" applyNumberFormat="1" applyFont="1" applyBorder="1" applyAlignment="1">
      <alignment horizontal="center" vertical="center"/>
    </xf>
    <xf numFmtId="10" fontId="4" fillId="0" borderId="20" xfId="1" applyNumberFormat="1" applyFont="1" applyBorder="1" applyAlignment="1">
      <alignment horizontal="center" vertical="center"/>
    </xf>
    <xf numFmtId="183" fontId="4" fillId="0" borderId="0" xfId="2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</cellXfs>
  <cellStyles count="5">
    <cellStyle name="パーセント 2" xfId="2"/>
    <cellStyle name="パーセント 2 2" xfId="3"/>
    <cellStyle name="標準" xfId="0" builtinId="0"/>
    <cellStyle name="標準 2" xfId="4"/>
    <cellStyle name="標準_(3)Mango renewal 38S_42S 内容積(様式)" xfId="1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CCFF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3</xdr:col>
      <xdr:colOff>904875</xdr:colOff>
      <xdr:row>1</xdr:row>
      <xdr:rowOff>9525</xdr:rowOff>
    </xdr:to>
    <xdr:pic>
      <xdr:nvPicPr>
        <xdr:cNvPr id="2" name="ピクチャ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1438275" cy="2000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53</xdr:row>
          <xdr:rowOff>180759</xdr:rowOff>
        </xdr:from>
        <xdr:to>
          <xdr:col>14</xdr:col>
          <xdr:colOff>44824</xdr:colOff>
          <xdr:row>60</xdr:row>
          <xdr:rowOff>25060</xdr:rowOff>
        </xdr:to>
        <xdr:pic>
          <xdr:nvPicPr>
            <xdr:cNvPr id="3" name="Picture 12"/>
            <xdr:cNvPicPr>
              <a:picLocks noChangeAspect="1" noChangeArrowheads="1"/>
              <a:extLst>
                <a:ext uri="{84589F7E-364E-4C9E-8A38-B11213B215E9}">
                  <a14:cameraTool cellRange="SIGN!$B$1:$I$5" spid="_x0000_s1073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5725" y="11509906"/>
              <a:ext cx="8531599" cy="125624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567018</xdr:colOff>
          <xdr:row>50</xdr:row>
          <xdr:rowOff>29695</xdr:rowOff>
        </xdr:from>
        <xdr:to>
          <xdr:col>14</xdr:col>
          <xdr:colOff>9525</xdr:colOff>
          <xdr:row>53</xdr:row>
          <xdr:rowOff>14007</xdr:rowOff>
        </xdr:to>
        <xdr:pic>
          <xdr:nvPicPr>
            <xdr:cNvPr id="4" name="Picture 13"/>
            <xdr:cNvPicPr>
              <a:picLocks noChangeAspect="1" noChangeArrowheads="1"/>
              <a:extLst>
                <a:ext uri="{84589F7E-364E-4C9E-8A38-B11213B215E9}">
                  <a14:cameraTool cellRange="SIGN!$K$8:$N$11" spid="_x0000_s10738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338918" y="10792945"/>
              <a:ext cx="4214532" cy="72726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>
    <xdr:from>
      <xdr:col>11</xdr:col>
      <xdr:colOff>336175</xdr:colOff>
      <xdr:row>13</xdr:row>
      <xdr:rowOff>67235</xdr:rowOff>
    </xdr:from>
    <xdr:to>
      <xdr:col>19</xdr:col>
      <xdr:colOff>571499</xdr:colOff>
      <xdr:row>16</xdr:row>
      <xdr:rowOff>134471</xdr:rowOff>
    </xdr:to>
    <xdr:sp macro="" textlink="">
      <xdr:nvSpPr>
        <xdr:cNvPr id="5" name="線吹き出し 2 (枠付き) 4"/>
        <xdr:cNvSpPr/>
      </xdr:nvSpPr>
      <xdr:spPr>
        <a:xfrm>
          <a:off x="7418293" y="2476500"/>
          <a:ext cx="4527177" cy="717177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245312"/>
            <a:gd name="adj6" fmla="val -4702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/>
            <a:t>Rated values will be calculated by Excel formula in cell.</a:t>
          </a:r>
          <a:endParaRPr kumimoji="1" lang="ja-JP" altLang="en-US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30</xdr:row>
      <xdr:rowOff>22412</xdr:rowOff>
    </xdr:from>
    <xdr:to>
      <xdr:col>11</xdr:col>
      <xdr:colOff>11206</xdr:colOff>
      <xdr:row>32</xdr:row>
      <xdr:rowOff>11206</xdr:rowOff>
    </xdr:to>
    <xdr:cxnSp macro="">
      <xdr:nvCxnSpPr>
        <xdr:cNvPr id="4" name="直線コネクタ 3"/>
        <xdr:cNvCxnSpPr/>
      </xdr:nvCxnSpPr>
      <xdr:spPr>
        <a:xfrm>
          <a:off x="437029" y="5737412"/>
          <a:ext cx="11486030" cy="369794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11206</xdr:colOff>
      <xdr:row>30</xdr:row>
      <xdr:rowOff>22412</xdr:rowOff>
    </xdr:from>
    <xdr:to>
      <xdr:col>11</xdr:col>
      <xdr:colOff>11206</xdr:colOff>
      <xdr:row>32</xdr:row>
      <xdr:rowOff>0</xdr:rowOff>
    </xdr:to>
    <xdr:cxnSp macro="">
      <xdr:nvCxnSpPr>
        <xdr:cNvPr id="7" name="直線コネクタ 6"/>
        <xdr:cNvCxnSpPr/>
      </xdr:nvCxnSpPr>
      <xdr:spPr>
        <a:xfrm flipH="1">
          <a:off x="448235" y="5737412"/>
          <a:ext cx="11474824" cy="358588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11206</xdr:colOff>
      <xdr:row>58</xdr:row>
      <xdr:rowOff>11205</xdr:rowOff>
    </xdr:from>
    <xdr:to>
      <xdr:col>10</xdr:col>
      <xdr:colOff>1053353</xdr:colOff>
      <xdr:row>78</xdr:row>
      <xdr:rowOff>0</xdr:rowOff>
    </xdr:to>
    <xdr:cxnSp macro="">
      <xdr:nvCxnSpPr>
        <xdr:cNvPr id="8" name="直線コネクタ 7"/>
        <xdr:cNvCxnSpPr/>
      </xdr:nvCxnSpPr>
      <xdr:spPr>
        <a:xfrm>
          <a:off x="448235" y="11060205"/>
          <a:ext cx="9816353" cy="379879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11206</xdr:colOff>
      <xdr:row>58</xdr:row>
      <xdr:rowOff>0</xdr:rowOff>
    </xdr:from>
    <xdr:to>
      <xdr:col>11</xdr:col>
      <xdr:colOff>11206</xdr:colOff>
      <xdr:row>77</xdr:row>
      <xdr:rowOff>179294</xdr:rowOff>
    </xdr:to>
    <xdr:cxnSp macro="">
      <xdr:nvCxnSpPr>
        <xdr:cNvPr id="9" name="直線コネクタ 8"/>
        <xdr:cNvCxnSpPr/>
      </xdr:nvCxnSpPr>
      <xdr:spPr>
        <a:xfrm flipH="1">
          <a:off x="448235" y="11049000"/>
          <a:ext cx="9838765" cy="3798794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22412</xdr:colOff>
      <xdr:row>51</xdr:row>
      <xdr:rowOff>11205</xdr:rowOff>
    </xdr:from>
    <xdr:to>
      <xdr:col>10</xdr:col>
      <xdr:colOff>1019735</xdr:colOff>
      <xdr:row>52</xdr:row>
      <xdr:rowOff>0</xdr:rowOff>
    </xdr:to>
    <xdr:cxnSp macro="">
      <xdr:nvCxnSpPr>
        <xdr:cNvPr id="10" name="直線コネクタ 9"/>
        <xdr:cNvCxnSpPr/>
      </xdr:nvCxnSpPr>
      <xdr:spPr>
        <a:xfrm>
          <a:off x="459441" y="9726705"/>
          <a:ext cx="11407588" cy="17929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11207</xdr:colOff>
      <xdr:row>53</xdr:row>
      <xdr:rowOff>22412</xdr:rowOff>
    </xdr:from>
    <xdr:to>
      <xdr:col>11</xdr:col>
      <xdr:colOff>0</xdr:colOff>
      <xdr:row>54</xdr:row>
      <xdr:rowOff>0</xdr:rowOff>
    </xdr:to>
    <xdr:cxnSp macro="">
      <xdr:nvCxnSpPr>
        <xdr:cNvPr id="11" name="直線コネクタ 10"/>
        <xdr:cNvCxnSpPr/>
      </xdr:nvCxnSpPr>
      <xdr:spPr>
        <a:xfrm flipH="1" flipV="1">
          <a:off x="448236" y="10118912"/>
          <a:ext cx="11463617" cy="168088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22411</xdr:colOff>
      <xdr:row>167</xdr:row>
      <xdr:rowOff>11205</xdr:rowOff>
    </xdr:from>
    <xdr:to>
      <xdr:col>11</xdr:col>
      <xdr:colOff>11206</xdr:colOff>
      <xdr:row>181</xdr:row>
      <xdr:rowOff>0</xdr:rowOff>
    </xdr:to>
    <xdr:cxnSp macro="">
      <xdr:nvCxnSpPr>
        <xdr:cNvPr id="19" name="直線コネクタ 18"/>
        <xdr:cNvCxnSpPr/>
      </xdr:nvCxnSpPr>
      <xdr:spPr>
        <a:xfrm>
          <a:off x="459440" y="30659293"/>
          <a:ext cx="9827560" cy="265579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22412</xdr:colOff>
      <xdr:row>167</xdr:row>
      <xdr:rowOff>0</xdr:rowOff>
    </xdr:from>
    <xdr:to>
      <xdr:col>11</xdr:col>
      <xdr:colOff>22411</xdr:colOff>
      <xdr:row>180</xdr:row>
      <xdr:rowOff>179294</xdr:rowOff>
    </xdr:to>
    <xdr:cxnSp macro="">
      <xdr:nvCxnSpPr>
        <xdr:cNvPr id="20" name="直線コネクタ 19"/>
        <xdr:cNvCxnSpPr/>
      </xdr:nvCxnSpPr>
      <xdr:spPr>
        <a:xfrm flipH="1">
          <a:off x="459441" y="30648088"/>
          <a:ext cx="9838764" cy="2655794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212910</xdr:colOff>
      <xdr:row>144</xdr:row>
      <xdr:rowOff>11204</xdr:rowOff>
    </xdr:from>
    <xdr:to>
      <xdr:col>11</xdr:col>
      <xdr:colOff>11206</xdr:colOff>
      <xdr:row>153</xdr:row>
      <xdr:rowOff>0</xdr:rowOff>
    </xdr:to>
    <xdr:cxnSp macro="">
      <xdr:nvCxnSpPr>
        <xdr:cNvPr id="23" name="直線コネクタ 22"/>
        <xdr:cNvCxnSpPr/>
      </xdr:nvCxnSpPr>
      <xdr:spPr>
        <a:xfrm>
          <a:off x="437028" y="26658792"/>
          <a:ext cx="9849972" cy="170329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22412</xdr:colOff>
      <xdr:row>143</xdr:row>
      <xdr:rowOff>190499</xdr:rowOff>
    </xdr:from>
    <xdr:to>
      <xdr:col>10</xdr:col>
      <xdr:colOff>1064558</xdr:colOff>
      <xdr:row>153</xdr:row>
      <xdr:rowOff>0</xdr:rowOff>
    </xdr:to>
    <xdr:cxnSp macro="">
      <xdr:nvCxnSpPr>
        <xdr:cNvPr id="24" name="直線コネクタ 23"/>
        <xdr:cNvCxnSpPr/>
      </xdr:nvCxnSpPr>
      <xdr:spPr>
        <a:xfrm flipH="1">
          <a:off x="459441" y="26647587"/>
          <a:ext cx="9816352" cy="1714501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212910</xdr:colOff>
      <xdr:row>126</xdr:row>
      <xdr:rowOff>11204</xdr:rowOff>
    </xdr:from>
    <xdr:to>
      <xdr:col>10</xdr:col>
      <xdr:colOff>1042147</xdr:colOff>
      <xdr:row>127</xdr:row>
      <xdr:rowOff>0</xdr:rowOff>
    </xdr:to>
    <xdr:cxnSp macro="">
      <xdr:nvCxnSpPr>
        <xdr:cNvPr id="27" name="直線コネクタ 26"/>
        <xdr:cNvCxnSpPr/>
      </xdr:nvCxnSpPr>
      <xdr:spPr>
        <a:xfrm>
          <a:off x="437028" y="23229792"/>
          <a:ext cx="9816354" cy="17929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212910</xdr:colOff>
      <xdr:row>157</xdr:row>
      <xdr:rowOff>11204</xdr:rowOff>
    </xdr:from>
    <xdr:to>
      <xdr:col>10</xdr:col>
      <xdr:colOff>1042147</xdr:colOff>
      <xdr:row>158</xdr:row>
      <xdr:rowOff>179294</xdr:rowOff>
    </xdr:to>
    <xdr:cxnSp macro="">
      <xdr:nvCxnSpPr>
        <xdr:cNvPr id="31" name="直線コネクタ 30"/>
        <xdr:cNvCxnSpPr/>
      </xdr:nvCxnSpPr>
      <xdr:spPr>
        <a:xfrm>
          <a:off x="437028" y="29897292"/>
          <a:ext cx="9917207" cy="35859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3360</xdr:colOff>
      <xdr:row>129</xdr:row>
      <xdr:rowOff>20729</xdr:rowOff>
    </xdr:from>
    <xdr:to>
      <xdr:col>10</xdr:col>
      <xdr:colOff>1019175</xdr:colOff>
      <xdr:row>131</xdr:row>
      <xdr:rowOff>180975</xdr:rowOff>
    </xdr:to>
    <xdr:cxnSp macro="">
      <xdr:nvCxnSpPr>
        <xdr:cNvPr id="15" name="直線コネクタ 14"/>
        <xdr:cNvCxnSpPr/>
      </xdr:nvCxnSpPr>
      <xdr:spPr>
        <a:xfrm>
          <a:off x="431985" y="23814179"/>
          <a:ext cx="9797865" cy="54124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3</xdr:col>
      <xdr:colOff>904875</xdr:colOff>
      <xdr:row>1</xdr:row>
      <xdr:rowOff>9525</xdr:rowOff>
    </xdr:to>
    <xdr:pic>
      <xdr:nvPicPr>
        <xdr:cNvPr id="2" name="ピクチャ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1438275" cy="2000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53</xdr:row>
          <xdr:rowOff>180759</xdr:rowOff>
        </xdr:from>
        <xdr:to>
          <xdr:col>14</xdr:col>
          <xdr:colOff>89647</xdr:colOff>
          <xdr:row>60</xdr:row>
          <xdr:rowOff>31660</xdr:rowOff>
        </xdr:to>
        <xdr:pic>
          <xdr:nvPicPr>
            <xdr:cNvPr id="3" name="Picture 12"/>
            <xdr:cNvPicPr>
              <a:picLocks noChangeAspect="1" noChangeArrowheads="1"/>
              <a:extLst>
                <a:ext uri="{84589F7E-364E-4C9E-8A38-B11213B215E9}">
                  <a14:cameraTool cellRange="SIGN!$B$1:$I$5" spid="_x0000_s1154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5725" y="11509906"/>
              <a:ext cx="8576422" cy="126284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567018</xdr:colOff>
          <xdr:row>50</xdr:row>
          <xdr:rowOff>29695</xdr:rowOff>
        </xdr:from>
        <xdr:to>
          <xdr:col>14</xdr:col>
          <xdr:colOff>9525</xdr:colOff>
          <xdr:row>53</xdr:row>
          <xdr:rowOff>14007</xdr:rowOff>
        </xdr:to>
        <xdr:pic>
          <xdr:nvPicPr>
            <xdr:cNvPr id="4" name="Picture 13"/>
            <xdr:cNvPicPr>
              <a:picLocks noChangeAspect="1" noChangeArrowheads="1"/>
              <a:extLst>
                <a:ext uri="{84589F7E-364E-4C9E-8A38-B11213B215E9}">
                  <a14:cameraTool cellRange="SIGN!$K$8:$N$11" spid="_x0000_s11550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338918" y="10792945"/>
              <a:ext cx="4214532" cy="72726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>
    <xdr:from>
      <xdr:col>11</xdr:col>
      <xdr:colOff>100853</xdr:colOff>
      <xdr:row>32</xdr:row>
      <xdr:rowOff>67236</xdr:rowOff>
    </xdr:from>
    <xdr:to>
      <xdr:col>19</xdr:col>
      <xdr:colOff>481854</xdr:colOff>
      <xdr:row>35</xdr:row>
      <xdr:rowOff>112060</xdr:rowOff>
    </xdr:to>
    <xdr:sp macro="" textlink="">
      <xdr:nvSpPr>
        <xdr:cNvPr id="5" name="線吹き出し 2 (枠付き) 4"/>
        <xdr:cNvSpPr/>
      </xdr:nvSpPr>
      <xdr:spPr>
        <a:xfrm>
          <a:off x="7182971" y="6712324"/>
          <a:ext cx="4527177" cy="717177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54688"/>
            <a:gd name="adj6" fmla="val -3712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/>
            <a:t>Rated values will be calculated by Excel</a:t>
          </a:r>
          <a:r>
            <a:rPr kumimoji="1" lang="en-US" altLang="ja-JP" sz="1400" baseline="0"/>
            <a:t> </a:t>
          </a:r>
          <a:r>
            <a:rPr kumimoji="1" lang="en-US" altLang="ja-JP" sz="1400"/>
            <a:t>formula in cell.</a:t>
          </a:r>
          <a:endParaRPr kumimoji="1" lang="ja-JP" altLang="en-US" sz="1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129</xdr:row>
      <xdr:rowOff>9525</xdr:rowOff>
    </xdr:from>
    <xdr:to>
      <xdr:col>10</xdr:col>
      <xdr:colOff>790575</xdr:colOff>
      <xdr:row>132</xdr:row>
      <xdr:rowOff>19050</xdr:rowOff>
    </xdr:to>
    <xdr:cxnSp macro="">
      <xdr:nvCxnSpPr>
        <xdr:cNvPr id="3" name="直線コネクタ 2"/>
        <xdr:cNvCxnSpPr/>
      </xdr:nvCxnSpPr>
      <xdr:spPr>
        <a:xfrm>
          <a:off x="457200" y="23802975"/>
          <a:ext cx="10239375" cy="5810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54</xdr:row>
      <xdr:rowOff>9525</xdr:rowOff>
    </xdr:from>
    <xdr:to>
      <xdr:col>11</xdr:col>
      <xdr:colOff>0</xdr:colOff>
      <xdr:row>57</xdr:row>
      <xdr:rowOff>0</xdr:rowOff>
    </xdr:to>
    <xdr:cxnSp macro="">
      <xdr:nvCxnSpPr>
        <xdr:cNvPr id="4" name="直線コネクタ 3"/>
        <xdr:cNvCxnSpPr/>
      </xdr:nvCxnSpPr>
      <xdr:spPr>
        <a:xfrm>
          <a:off x="438150" y="10296525"/>
          <a:ext cx="10287000" cy="56197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36</xdr:row>
      <xdr:rowOff>9525</xdr:rowOff>
    </xdr:from>
    <xdr:to>
      <xdr:col>10</xdr:col>
      <xdr:colOff>809625</xdr:colOff>
      <xdr:row>38</xdr:row>
      <xdr:rowOff>9525</xdr:rowOff>
    </xdr:to>
    <xdr:cxnSp macro="">
      <xdr:nvCxnSpPr>
        <xdr:cNvPr id="5" name="直線コネクタ 4"/>
        <xdr:cNvCxnSpPr/>
      </xdr:nvCxnSpPr>
      <xdr:spPr>
        <a:xfrm>
          <a:off x="438150" y="6867525"/>
          <a:ext cx="10277475" cy="38100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39</xdr:row>
      <xdr:rowOff>19050</xdr:rowOff>
    </xdr:from>
    <xdr:to>
      <xdr:col>11</xdr:col>
      <xdr:colOff>9525</xdr:colOff>
      <xdr:row>39</xdr:row>
      <xdr:rowOff>171450</xdr:rowOff>
    </xdr:to>
    <xdr:cxnSp macro="">
      <xdr:nvCxnSpPr>
        <xdr:cNvPr id="7" name="直線コネクタ 6"/>
        <xdr:cNvCxnSpPr/>
      </xdr:nvCxnSpPr>
      <xdr:spPr>
        <a:xfrm>
          <a:off x="438150" y="7448550"/>
          <a:ext cx="10296525" cy="15240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.win.sharp.co.jp\&#12308;&#20919;&#34101;&#12309;&#31532;&#19968;&#25216;&#34899;&#37096;\~&#29305;&#27530;&#20849;&#26377;\reizoueng\DDrive\&#28023;&#22806;Gr\&#12394;&#12435;&#12391;&#12418;\444_&#35336;&#28204;&#22120;_&#35373;&#20633;&#31649;&#29702;\+&#24615;&#33021;&#35430;&#39443;&#23460;_No.3\201201\Room%20Temperature\xls\RoomTempDi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.win.sharp.co.jp\&#12308;&#20919;&#34101;&#12309;&#31532;&#19968;&#25216;&#34899;&#37096;\MO\pc&#12497;&#12477;&#12467;&#12531;\LAN(IP_LU)\IP&#30003;&#35531;\(&#12493;&#12483;&#12488;&#12527;&#12540;&#12463;&#25509;&#32154;&#30003;&#35531;&#26360;)Desktop%20pc(1&#21488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3_03"/>
      <sheetName val="03_02"/>
      <sheetName val="03_01"/>
      <sheetName val="Variables"/>
      <sheetName val="25deg75RH"/>
      <sheetName val="10deg80RH"/>
      <sheetName val="16deg80RH"/>
      <sheetName val="32deg75RH"/>
      <sheetName val="32deg90RH"/>
      <sheetName val="43deg75RH "/>
    </sheetNames>
    <sheetDataSet>
      <sheetData sheetId="0"/>
      <sheetData sheetId="1"/>
      <sheetData sheetId="2"/>
      <sheetData sheetId="3">
        <row r="1">
          <cell r="B1" t="str">
            <v>03_01!</v>
          </cell>
        </row>
        <row r="5">
          <cell r="B5" t="str">
            <v>A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●IT資産ﾈｯﾄﾜｰｸ接続申請書(新規・廃止・変更)"/>
      <sheetName val="●IT資産ﾈｯﾄﾜｰｸ接続申請書(一時使用)"/>
      <sheetName val="プルダウンメニュー(削除不可）"/>
    </sheetNames>
    <sheetDataSet>
      <sheetData sheetId="0"/>
      <sheetData sheetId="1"/>
      <sheetData sheetId="2">
        <row r="84">
          <cell r="B84" t="str">
            <v>居室</v>
          </cell>
        </row>
        <row r="85">
          <cell r="B85" t="str">
            <v>設計室</v>
          </cell>
        </row>
        <row r="86">
          <cell r="B86" t="str">
            <v>実験室</v>
          </cell>
        </row>
        <row r="87">
          <cell r="B87" t="str">
            <v>OAﾙｰﾑ</v>
          </cell>
        </row>
        <row r="88">
          <cell r="B88" t="str">
            <v>CADﾙｰﾑ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AA65"/>
  <sheetViews>
    <sheetView showGridLines="0" tabSelected="1" view="pageBreakPreview" zoomScaleNormal="100" zoomScaleSheetLayoutView="100" workbookViewId="0">
      <selection activeCell="D37" sqref="D37:E37"/>
    </sheetView>
  </sheetViews>
  <sheetFormatPr defaultRowHeight="14.25"/>
  <cols>
    <col min="1" max="1" width="1.125" style="59" customWidth="1"/>
    <col min="2" max="2" width="3.875" style="59" customWidth="1"/>
    <col min="3" max="3" width="2.625" style="59" customWidth="1"/>
    <col min="4" max="4" width="14.625" style="59" customWidth="1"/>
    <col min="5" max="5" width="18.625" style="59" customWidth="1"/>
    <col min="6" max="13" width="8.625" style="59" customWidth="1"/>
    <col min="14" max="14" width="2.25" style="59" customWidth="1"/>
    <col min="15" max="15" width="1.75" style="59" customWidth="1"/>
    <col min="16" max="16" width="4.625" style="59" customWidth="1"/>
    <col min="17" max="17" width="7.875" style="59" bestFit="1" customWidth="1"/>
    <col min="18" max="18" width="14.375" style="59" customWidth="1"/>
    <col min="19" max="19" width="8.125" style="59" bestFit="1" customWidth="1"/>
    <col min="20" max="22" width="9.875" style="59" customWidth="1"/>
    <col min="23" max="24" width="9" style="59"/>
    <col min="25" max="25" width="5.25" style="59" bestFit="1" customWidth="1"/>
    <col min="26" max="26" width="9" style="59"/>
    <col min="27" max="27" width="13.875" style="59" customWidth="1"/>
    <col min="28" max="256" width="9" style="59"/>
    <col min="257" max="257" width="1.125" style="59" customWidth="1"/>
    <col min="258" max="258" width="3.875" style="59" customWidth="1"/>
    <col min="259" max="259" width="2.625" style="59" customWidth="1"/>
    <col min="260" max="260" width="14.625" style="59" customWidth="1"/>
    <col min="261" max="261" width="18.625" style="59" customWidth="1"/>
    <col min="262" max="269" width="8.625" style="59" customWidth="1"/>
    <col min="270" max="270" width="2.25" style="59" customWidth="1"/>
    <col min="271" max="271" width="1.75" style="59" customWidth="1"/>
    <col min="272" max="272" width="4.625" style="59" customWidth="1"/>
    <col min="273" max="273" width="8.875" style="59" bestFit="1" customWidth="1"/>
    <col min="274" max="276" width="9.875" style="59" customWidth="1"/>
    <col min="277" max="512" width="9" style="59"/>
    <col min="513" max="513" width="1.125" style="59" customWidth="1"/>
    <col min="514" max="514" width="3.875" style="59" customWidth="1"/>
    <col min="515" max="515" width="2.625" style="59" customWidth="1"/>
    <col min="516" max="516" width="14.625" style="59" customWidth="1"/>
    <col min="517" max="517" width="18.625" style="59" customWidth="1"/>
    <col min="518" max="525" width="8.625" style="59" customWidth="1"/>
    <col min="526" max="526" width="2.25" style="59" customWidth="1"/>
    <col min="527" max="527" width="1.75" style="59" customWidth="1"/>
    <col min="528" max="528" width="4.625" style="59" customWidth="1"/>
    <col min="529" max="529" width="8.875" style="59" bestFit="1" customWidth="1"/>
    <col min="530" max="532" width="9.875" style="59" customWidth="1"/>
    <col min="533" max="768" width="9" style="59"/>
    <col min="769" max="769" width="1.125" style="59" customWidth="1"/>
    <col min="770" max="770" width="3.875" style="59" customWidth="1"/>
    <col min="771" max="771" width="2.625" style="59" customWidth="1"/>
    <col min="772" max="772" width="14.625" style="59" customWidth="1"/>
    <col min="773" max="773" width="18.625" style="59" customWidth="1"/>
    <col min="774" max="781" width="8.625" style="59" customWidth="1"/>
    <col min="782" max="782" width="2.25" style="59" customWidth="1"/>
    <col min="783" max="783" width="1.75" style="59" customWidth="1"/>
    <col min="784" max="784" width="4.625" style="59" customWidth="1"/>
    <col min="785" max="785" width="8.875" style="59" bestFit="1" customWidth="1"/>
    <col min="786" max="788" width="9.875" style="59" customWidth="1"/>
    <col min="789" max="1024" width="9" style="59"/>
    <col min="1025" max="1025" width="1.125" style="59" customWidth="1"/>
    <col min="1026" max="1026" width="3.875" style="59" customWidth="1"/>
    <col min="1027" max="1027" width="2.625" style="59" customWidth="1"/>
    <col min="1028" max="1028" width="14.625" style="59" customWidth="1"/>
    <col min="1029" max="1029" width="18.625" style="59" customWidth="1"/>
    <col min="1030" max="1037" width="8.625" style="59" customWidth="1"/>
    <col min="1038" max="1038" width="2.25" style="59" customWidth="1"/>
    <col min="1039" max="1039" width="1.75" style="59" customWidth="1"/>
    <col min="1040" max="1040" width="4.625" style="59" customWidth="1"/>
    <col min="1041" max="1041" width="8.875" style="59" bestFit="1" customWidth="1"/>
    <col min="1042" max="1044" width="9.875" style="59" customWidth="1"/>
    <col min="1045" max="1280" width="9" style="59"/>
    <col min="1281" max="1281" width="1.125" style="59" customWidth="1"/>
    <col min="1282" max="1282" width="3.875" style="59" customWidth="1"/>
    <col min="1283" max="1283" width="2.625" style="59" customWidth="1"/>
    <col min="1284" max="1284" width="14.625" style="59" customWidth="1"/>
    <col min="1285" max="1285" width="18.625" style="59" customWidth="1"/>
    <col min="1286" max="1293" width="8.625" style="59" customWidth="1"/>
    <col min="1294" max="1294" width="2.25" style="59" customWidth="1"/>
    <col min="1295" max="1295" width="1.75" style="59" customWidth="1"/>
    <col min="1296" max="1296" width="4.625" style="59" customWidth="1"/>
    <col min="1297" max="1297" width="8.875" style="59" bestFit="1" customWidth="1"/>
    <col min="1298" max="1300" width="9.875" style="59" customWidth="1"/>
    <col min="1301" max="1536" width="9" style="59"/>
    <col min="1537" max="1537" width="1.125" style="59" customWidth="1"/>
    <col min="1538" max="1538" width="3.875" style="59" customWidth="1"/>
    <col min="1539" max="1539" width="2.625" style="59" customWidth="1"/>
    <col min="1540" max="1540" width="14.625" style="59" customWidth="1"/>
    <col min="1541" max="1541" width="18.625" style="59" customWidth="1"/>
    <col min="1542" max="1549" width="8.625" style="59" customWidth="1"/>
    <col min="1550" max="1550" width="2.25" style="59" customWidth="1"/>
    <col min="1551" max="1551" width="1.75" style="59" customWidth="1"/>
    <col min="1552" max="1552" width="4.625" style="59" customWidth="1"/>
    <col min="1553" max="1553" width="8.875" style="59" bestFit="1" customWidth="1"/>
    <col min="1554" max="1556" width="9.875" style="59" customWidth="1"/>
    <col min="1557" max="1792" width="9" style="59"/>
    <col min="1793" max="1793" width="1.125" style="59" customWidth="1"/>
    <col min="1794" max="1794" width="3.875" style="59" customWidth="1"/>
    <col min="1795" max="1795" width="2.625" style="59" customWidth="1"/>
    <col min="1796" max="1796" width="14.625" style="59" customWidth="1"/>
    <col min="1797" max="1797" width="18.625" style="59" customWidth="1"/>
    <col min="1798" max="1805" width="8.625" style="59" customWidth="1"/>
    <col min="1806" max="1806" width="2.25" style="59" customWidth="1"/>
    <col min="1807" max="1807" width="1.75" style="59" customWidth="1"/>
    <col min="1808" max="1808" width="4.625" style="59" customWidth="1"/>
    <col min="1809" max="1809" width="8.875" style="59" bestFit="1" customWidth="1"/>
    <col min="1810" max="1812" width="9.875" style="59" customWidth="1"/>
    <col min="1813" max="2048" width="9" style="59"/>
    <col min="2049" max="2049" width="1.125" style="59" customWidth="1"/>
    <col min="2050" max="2050" width="3.875" style="59" customWidth="1"/>
    <col min="2051" max="2051" width="2.625" style="59" customWidth="1"/>
    <col min="2052" max="2052" width="14.625" style="59" customWidth="1"/>
    <col min="2053" max="2053" width="18.625" style="59" customWidth="1"/>
    <col min="2054" max="2061" width="8.625" style="59" customWidth="1"/>
    <col min="2062" max="2062" width="2.25" style="59" customWidth="1"/>
    <col min="2063" max="2063" width="1.75" style="59" customWidth="1"/>
    <col min="2064" max="2064" width="4.625" style="59" customWidth="1"/>
    <col min="2065" max="2065" width="8.875" style="59" bestFit="1" customWidth="1"/>
    <col min="2066" max="2068" width="9.875" style="59" customWidth="1"/>
    <col min="2069" max="2304" width="9" style="59"/>
    <col min="2305" max="2305" width="1.125" style="59" customWidth="1"/>
    <col min="2306" max="2306" width="3.875" style="59" customWidth="1"/>
    <col min="2307" max="2307" width="2.625" style="59" customWidth="1"/>
    <col min="2308" max="2308" width="14.625" style="59" customWidth="1"/>
    <col min="2309" max="2309" width="18.625" style="59" customWidth="1"/>
    <col min="2310" max="2317" width="8.625" style="59" customWidth="1"/>
    <col min="2318" max="2318" width="2.25" style="59" customWidth="1"/>
    <col min="2319" max="2319" width="1.75" style="59" customWidth="1"/>
    <col min="2320" max="2320" width="4.625" style="59" customWidth="1"/>
    <col min="2321" max="2321" width="8.875" style="59" bestFit="1" customWidth="1"/>
    <col min="2322" max="2324" width="9.875" style="59" customWidth="1"/>
    <col min="2325" max="2560" width="9" style="59"/>
    <col min="2561" max="2561" width="1.125" style="59" customWidth="1"/>
    <col min="2562" max="2562" width="3.875" style="59" customWidth="1"/>
    <col min="2563" max="2563" width="2.625" style="59" customWidth="1"/>
    <col min="2564" max="2564" width="14.625" style="59" customWidth="1"/>
    <col min="2565" max="2565" width="18.625" style="59" customWidth="1"/>
    <col min="2566" max="2573" width="8.625" style="59" customWidth="1"/>
    <col min="2574" max="2574" width="2.25" style="59" customWidth="1"/>
    <col min="2575" max="2575" width="1.75" style="59" customWidth="1"/>
    <col min="2576" max="2576" width="4.625" style="59" customWidth="1"/>
    <col min="2577" max="2577" width="8.875" style="59" bestFit="1" customWidth="1"/>
    <col min="2578" max="2580" width="9.875" style="59" customWidth="1"/>
    <col min="2581" max="2816" width="9" style="59"/>
    <col min="2817" max="2817" width="1.125" style="59" customWidth="1"/>
    <col min="2818" max="2818" width="3.875" style="59" customWidth="1"/>
    <col min="2819" max="2819" width="2.625" style="59" customWidth="1"/>
    <col min="2820" max="2820" width="14.625" style="59" customWidth="1"/>
    <col min="2821" max="2821" width="18.625" style="59" customWidth="1"/>
    <col min="2822" max="2829" width="8.625" style="59" customWidth="1"/>
    <col min="2830" max="2830" width="2.25" style="59" customWidth="1"/>
    <col min="2831" max="2831" width="1.75" style="59" customWidth="1"/>
    <col min="2832" max="2832" width="4.625" style="59" customWidth="1"/>
    <col min="2833" max="2833" width="8.875" style="59" bestFit="1" customWidth="1"/>
    <col min="2834" max="2836" width="9.875" style="59" customWidth="1"/>
    <col min="2837" max="3072" width="9" style="59"/>
    <col min="3073" max="3073" width="1.125" style="59" customWidth="1"/>
    <col min="3074" max="3074" width="3.875" style="59" customWidth="1"/>
    <col min="3075" max="3075" width="2.625" style="59" customWidth="1"/>
    <col min="3076" max="3076" width="14.625" style="59" customWidth="1"/>
    <col min="3077" max="3077" width="18.625" style="59" customWidth="1"/>
    <col min="3078" max="3085" width="8.625" style="59" customWidth="1"/>
    <col min="3086" max="3086" width="2.25" style="59" customWidth="1"/>
    <col min="3087" max="3087" width="1.75" style="59" customWidth="1"/>
    <col min="3088" max="3088" width="4.625" style="59" customWidth="1"/>
    <col min="3089" max="3089" width="8.875" style="59" bestFit="1" customWidth="1"/>
    <col min="3090" max="3092" width="9.875" style="59" customWidth="1"/>
    <col min="3093" max="3328" width="9" style="59"/>
    <col min="3329" max="3329" width="1.125" style="59" customWidth="1"/>
    <col min="3330" max="3330" width="3.875" style="59" customWidth="1"/>
    <col min="3331" max="3331" width="2.625" style="59" customWidth="1"/>
    <col min="3332" max="3332" width="14.625" style="59" customWidth="1"/>
    <col min="3333" max="3333" width="18.625" style="59" customWidth="1"/>
    <col min="3334" max="3341" width="8.625" style="59" customWidth="1"/>
    <col min="3342" max="3342" width="2.25" style="59" customWidth="1"/>
    <col min="3343" max="3343" width="1.75" style="59" customWidth="1"/>
    <col min="3344" max="3344" width="4.625" style="59" customWidth="1"/>
    <col min="3345" max="3345" width="8.875" style="59" bestFit="1" customWidth="1"/>
    <col min="3346" max="3348" width="9.875" style="59" customWidth="1"/>
    <col min="3349" max="3584" width="9" style="59"/>
    <col min="3585" max="3585" width="1.125" style="59" customWidth="1"/>
    <col min="3586" max="3586" width="3.875" style="59" customWidth="1"/>
    <col min="3587" max="3587" width="2.625" style="59" customWidth="1"/>
    <col min="3588" max="3588" width="14.625" style="59" customWidth="1"/>
    <col min="3589" max="3589" width="18.625" style="59" customWidth="1"/>
    <col min="3590" max="3597" width="8.625" style="59" customWidth="1"/>
    <col min="3598" max="3598" width="2.25" style="59" customWidth="1"/>
    <col min="3599" max="3599" width="1.75" style="59" customWidth="1"/>
    <col min="3600" max="3600" width="4.625" style="59" customWidth="1"/>
    <col min="3601" max="3601" width="8.875" style="59" bestFit="1" customWidth="1"/>
    <col min="3602" max="3604" width="9.875" style="59" customWidth="1"/>
    <col min="3605" max="3840" width="9" style="59"/>
    <col min="3841" max="3841" width="1.125" style="59" customWidth="1"/>
    <col min="3842" max="3842" width="3.875" style="59" customWidth="1"/>
    <col min="3843" max="3843" width="2.625" style="59" customWidth="1"/>
    <col min="3844" max="3844" width="14.625" style="59" customWidth="1"/>
    <col min="3845" max="3845" width="18.625" style="59" customWidth="1"/>
    <col min="3846" max="3853" width="8.625" style="59" customWidth="1"/>
    <col min="3854" max="3854" width="2.25" style="59" customWidth="1"/>
    <col min="3855" max="3855" width="1.75" style="59" customWidth="1"/>
    <col min="3856" max="3856" width="4.625" style="59" customWidth="1"/>
    <col min="3857" max="3857" width="8.875" style="59" bestFit="1" customWidth="1"/>
    <col min="3858" max="3860" width="9.875" style="59" customWidth="1"/>
    <col min="3861" max="4096" width="9" style="59"/>
    <col min="4097" max="4097" width="1.125" style="59" customWidth="1"/>
    <col min="4098" max="4098" width="3.875" style="59" customWidth="1"/>
    <col min="4099" max="4099" width="2.625" style="59" customWidth="1"/>
    <col min="4100" max="4100" width="14.625" style="59" customWidth="1"/>
    <col min="4101" max="4101" width="18.625" style="59" customWidth="1"/>
    <col min="4102" max="4109" width="8.625" style="59" customWidth="1"/>
    <col min="4110" max="4110" width="2.25" style="59" customWidth="1"/>
    <col min="4111" max="4111" width="1.75" style="59" customWidth="1"/>
    <col min="4112" max="4112" width="4.625" style="59" customWidth="1"/>
    <col min="4113" max="4113" width="8.875" style="59" bestFit="1" customWidth="1"/>
    <col min="4114" max="4116" width="9.875" style="59" customWidth="1"/>
    <col min="4117" max="4352" width="9" style="59"/>
    <col min="4353" max="4353" width="1.125" style="59" customWidth="1"/>
    <col min="4354" max="4354" width="3.875" style="59" customWidth="1"/>
    <col min="4355" max="4355" width="2.625" style="59" customWidth="1"/>
    <col min="4356" max="4356" width="14.625" style="59" customWidth="1"/>
    <col min="4357" max="4357" width="18.625" style="59" customWidth="1"/>
    <col min="4358" max="4365" width="8.625" style="59" customWidth="1"/>
    <col min="4366" max="4366" width="2.25" style="59" customWidth="1"/>
    <col min="4367" max="4367" width="1.75" style="59" customWidth="1"/>
    <col min="4368" max="4368" width="4.625" style="59" customWidth="1"/>
    <col min="4369" max="4369" width="8.875" style="59" bestFit="1" customWidth="1"/>
    <col min="4370" max="4372" width="9.875" style="59" customWidth="1"/>
    <col min="4373" max="4608" width="9" style="59"/>
    <col min="4609" max="4609" width="1.125" style="59" customWidth="1"/>
    <col min="4610" max="4610" width="3.875" style="59" customWidth="1"/>
    <col min="4611" max="4611" width="2.625" style="59" customWidth="1"/>
    <col min="4612" max="4612" width="14.625" style="59" customWidth="1"/>
    <col min="4613" max="4613" width="18.625" style="59" customWidth="1"/>
    <col min="4614" max="4621" width="8.625" style="59" customWidth="1"/>
    <col min="4622" max="4622" width="2.25" style="59" customWidth="1"/>
    <col min="4623" max="4623" width="1.75" style="59" customWidth="1"/>
    <col min="4624" max="4624" width="4.625" style="59" customWidth="1"/>
    <col min="4625" max="4625" width="8.875" style="59" bestFit="1" customWidth="1"/>
    <col min="4626" max="4628" width="9.875" style="59" customWidth="1"/>
    <col min="4629" max="4864" width="9" style="59"/>
    <col min="4865" max="4865" width="1.125" style="59" customWidth="1"/>
    <col min="4866" max="4866" width="3.875" style="59" customWidth="1"/>
    <col min="4867" max="4867" width="2.625" style="59" customWidth="1"/>
    <col min="4868" max="4868" width="14.625" style="59" customWidth="1"/>
    <col min="4869" max="4869" width="18.625" style="59" customWidth="1"/>
    <col min="4870" max="4877" width="8.625" style="59" customWidth="1"/>
    <col min="4878" max="4878" width="2.25" style="59" customWidth="1"/>
    <col min="4879" max="4879" width="1.75" style="59" customWidth="1"/>
    <col min="4880" max="4880" width="4.625" style="59" customWidth="1"/>
    <col min="4881" max="4881" width="8.875" style="59" bestFit="1" customWidth="1"/>
    <col min="4882" max="4884" width="9.875" style="59" customWidth="1"/>
    <col min="4885" max="5120" width="9" style="59"/>
    <col min="5121" max="5121" width="1.125" style="59" customWidth="1"/>
    <col min="5122" max="5122" width="3.875" style="59" customWidth="1"/>
    <col min="5123" max="5123" width="2.625" style="59" customWidth="1"/>
    <col min="5124" max="5124" width="14.625" style="59" customWidth="1"/>
    <col min="5125" max="5125" width="18.625" style="59" customWidth="1"/>
    <col min="5126" max="5133" width="8.625" style="59" customWidth="1"/>
    <col min="5134" max="5134" width="2.25" style="59" customWidth="1"/>
    <col min="5135" max="5135" width="1.75" style="59" customWidth="1"/>
    <col min="5136" max="5136" width="4.625" style="59" customWidth="1"/>
    <col min="5137" max="5137" width="8.875" style="59" bestFit="1" customWidth="1"/>
    <col min="5138" max="5140" width="9.875" style="59" customWidth="1"/>
    <col min="5141" max="5376" width="9" style="59"/>
    <col min="5377" max="5377" width="1.125" style="59" customWidth="1"/>
    <col min="5378" max="5378" width="3.875" style="59" customWidth="1"/>
    <col min="5379" max="5379" width="2.625" style="59" customWidth="1"/>
    <col min="5380" max="5380" width="14.625" style="59" customWidth="1"/>
    <col min="5381" max="5381" width="18.625" style="59" customWidth="1"/>
    <col min="5382" max="5389" width="8.625" style="59" customWidth="1"/>
    <col min="5390" max="5390" width="2.25" style="59" customWidth="1"/>
    <col min="5391" max="5391" width="1.75" style="59" customWidth="1"/>
    <col min="5392" max="5392" width="4.625" style="59" customWidth="1"/>
    <col min="5393" max="5393" width="8.875" style="59" bestFit="1" customWidth="1"/>
    <col min="5394" max="5396" width="9.875" style="59" customWidth="1"/>
    <col min="5397" max="5632" width="9" style="59"/>
    <col min="5633" max="5633" width="1.125" style="59" customWidth="1"/>
    <col min="5634" max="5634" width="3.875" style="59" customWidth="1"/>
    <col min="5635" max="5635" width="2.625" style="59" customWidth="1"/>
    <col min="5636" max="5636" width="14.625" style="59" customWidth="1"/>
    <col min="5637" max="5637" width="18.625" style="59" customWidth="1"/>
    <col min="5638" max="5645" width="8.625" style="59" customWidth="1"/>
    <col min="5646" max="5646" width="2.25" style="59" customWidth="1"/>
    <col min="5647" max="5647" width="1.75" style="59" customWidth="1"/>
    <col min="5648" max="5648" width="4.625" style="59" customWidth="1"/>
    <col min="5649" max="5649" width="8.875" style="59" bestFit="1" customWidth="1"/>
    <col min="5650" max="5652" width="9.875" style="59" customWidth="1"/>
    <col min="5653" max="5888" width="9" style="59"/>
    <col min="5889" max="5889" width="1.125" style="59" customWidth="1"/>
    <col min="5890" max="5890" width="3.875" style="59" customWidth="1"/>
    <col min="5891" max="5891" width="2.625" style="59" customWidth="1"/>
    <col min="5892" max="5892" width="14.625" style="59" customWidth="1"/>
    <col min="5893" max="5893" width="18.625" style="59" customWidth="1"/>
    <col min="5894" max="5901" width="8.625" style="59" customWidth="1"/>
    <col min="5902" max="5902" width="2.25" style="59" customWidth="1"/>
    <col min="5903" max="5903" width="1.75" style="59" customWidth="1"/>
    <col min="5904" max="5904" width="4.625" style="59" customWidth="1"/>
    <col min="5905" max="5905" width="8.875" style="59" bestFit="1" customWidth="1"/>
    <col min="5906" max="5908" width="9.875" style="59" customWidth="1"/>
    <col min="5909" max="6144" width="9" style="59"/>
    <col min="6145" max="6145" width="1.125" style="59" customWidth="1"/>
    <col min="6146" max="6146" width="3.875" style="59" customWidth="1"/>
    <col min="6147" max="6147" width="2.625" style="59" customWidth="1"/>
    <col min="6148" max="6148" width="14.625" style="59" customWidth="1"/>
    <col min="6149" max="6149" width="18.625" style="59" customWidth="1"/>
    <col min="6150" max="6157" width="8.625" style="59" customWidth="1"/>
    <col min="6158" max="6158" width="2.25" style="59" customWidth="1"/>
    <col min="6159" max="6159" width="1.75" style="59" customWidth="1"/>
    <col min="6160" max="6160" width="4.625" style="59" customWidth="1"/>
    <col min="6161" max="6161" width="8.875" style="59" bestFit="1" customWidth="1"/>
    <col min="6162" max="6164" width="9.875" style="59" customWidth="1"/>
    <col min="6165" max="6400" width="9" style="59"/>
    <col min="6401" max="6401" width="1.125" style="59" customWidth="1"/>
    <col min="6402" max="6402" width="3.875" style="59" customWidth="1"/>
    <col min="6403" max="6403" width="2.625" style="59" customWidth="1"/>
    <col min="6404" max="6404" width="14.625" style="59" customWidth="1"/>
    <col min="6405" max="6405" width="18.625" style="59" customWidth="1"/>
    <col min="6406" max="6413" width="8.625" style="59" customWidth="1"/>
    <col min="6414" max="6414" width="2.25" style="59" customWidth="1"/>
    <col min="6415" max="6415" width="1.75" style="59" customWidth="1"/>
    <col min="6416" max="6416" width="4.625" style="59" customWidth="1"/>
    <col min="6417" max="6417" width="8.875" style="59" bestFit="1" customWidth="1"/>
    <col min="6418" max="6420" width="9.875" style="59" customWidth="1"/>
    <col min="6421" max="6656" width="9" style="59"/>
    <col min="6657" max="6657" width="1.125" style="59" customWidth="1"/>
    <col min="6658" max="6658" width="3.875" style="59" customWidth="1"/>
    <col min="6659" max="6659" width="2.625" style="59" customWidth="1"/>
    <col min="6660" max="6660" width="14.625" style="59" customWidth="1"/>
    <col min="6661" max="6661" width="18.625" style="59" customWidth="1"/>
    <col min="6662" max="6669" width="8.625" style="59" customWidth="1"/>
    <col min="6670" max="6670" width="2.25" style="59" customWidth="1"/>
    <col min="6671" max="6671" width="1.75" style="59" customWidth="1"/>
    <col min="6672" max="6672" width="4.625" style="59" customWidth="1"/>
    <col min="6673" max="6673" width="8.875" style="59" bestFit="1" customWidth="1"/>
    <col min="6674" max="6676" width="9.875" style="59" customWidth="1"/>
    <col min="6677" max="6912" width="9" style="59"/>
    <col min="6913" max="6913" width="1.125" style="59" customWidth="1"/>
    <col min="6914" max="6914" width="3.875" style="59" customWidth="1"/>
    <col min="6915" max="6915" width="2.625" style="59" customWidth="1"/>
    <col min="6916" max="6916" width="14.625" style="59" customWidth="1"/>
    <col min="6917" max="6917" width="18.625" style="59" customWidth="1"/>
    <col min="6918" max="6925" width="8.625" style="59" customWidth="1"/>
    <col min="6926" max="6926" width="2.25" style="59" customWidth="1"/>
    <col min="6927" max="6927" width="1.75" style="59" customWidth="1"/>
    <col min="6928" max="6928" width="4.625" style="59" customWidth="1"/>
    <col min="6929" max="6929" width="8.875" style="59" bestFit="1" customWidth="1"/>
    <col min="6930" max="6932" width="9.875" style="59" customWidth="1"/>
    <col min="6933" max="7168" width="9" style="59"/>
    <col min="7169" max="7169" width="1.125" style="59" customWidth="1"/>
    <col min="7170" max="7170" width="3.875" style="59" customWidth="1"/>
    <col min="7171" max="7171" width="2.625" style="59" customWidth="1"/>
    <col min="7172" max="7172" width="14.625" style="59" customWidth="1"/>
    <col min="7173" max="7173" width="18.625" style="59" customWidth="1"/>
    <col min="7174" max="7181" width="8.625" style="59" customWidth="1"/>
    <col min="7182" max="7182" width="2.25" style="59" customWidth="1"/>
    <col min="7183" max="7183" width="1.75" style="59" customWidth="1"/>
    <col min="7184" max="7184" width="4.625" style="59" customWidth="1"/>
    <col min="7185" max="7185" width="8.875" style="59" bestFit="1" customWidth="1"/>
    <col min="7186" max="7188" width="9.875" style="59" customWidth="1"/>
    <col min="7189" max="7424" width="9" style="59"/>
    <col min="7425" max="7425" width="1.125" style="59" customWidth="1"/>
    <col min="7426" max="7426" width="3.875" style="59" customWidth="1"/>
    <col min="7427" max="7427" width="2.625" style="59" customWidth="1"/>
    <col min="7428" max="7428" width="14.625" style="59" customWidth="1"/>
    <col min="7429" max="7429" width="18.625" style="59" customWidth="1"/>
    <col min="7430" max="7437" width="8.625" style="59" customWidth="1"/>
    <col min="7438" max="7438" width="2.25" style="59" customWidth="1"/>
    <col min="7439" max="7439" width="1.75" style="59" customWidth="1"/>
    <col min="7440" max="7440" width="4.625" style="59" customWidth="1"/>
    <col min="7441" max="7441" width="8.875" style="59" bestFit="1" customWidth="1"/>
    <col min="7442" max="7444" width="9.875" style="59" customWidth="1"/>
    <col min="7445" max="7680" width="9" style="59"/>
    <col min="7681" max="7681" width="1.125" style="59" customWidth="1"/>
    <col min="7682" max="7682" width="3.875" style="59" customWidth="1"/>
    <col min="7683" max="7683" width="2.625" style="59" customWidth="1"/>
    <col min="7684" max="7684" width="14.625" style="59" customWidth="1"/>
    <col min="7685" max="7685" width="18.625" style="59" customWidth="1"/>
    <col min="7686" max="7693" width="8.625" style="59" customWidth="1"/>
    <col min="7694" max="7694" width="2.25" style="59" customWidth="1"/>
    <col min="7695" max="7695" width="1.75" style="59" customWidth="1"/>
    <col min="7696" max="7696" width="4.625" style="59" customWidth="1"/>
    <col min="7697" max="7697" width="8.875" style="59" bestFit="1" customWidth="1"/>
    <col min="7698" max="7700" width="9.875" style="59" customWidth="1"/>
    <col min="7701" max="7936" width="9" style="59"/>
    <col min="7937" max="7937" width="1.125" style="59" customWidth="1"/>
    <col min="7938" max="7938" width="3.875" style="59" customWidth="1"/>
    <col min="7939" max="7939" width="2.625" style="59" customWidth="1"/>
    <col min="7940" max="7940" width="14.625" style="59" customWidth="1"/>
    <col min="7941" max="7941" width="18.625" style="59" customWidth="1"/>
    <col min="7942" max="7949" width="8.625" style="59" customWidth="1"/>
    <col min="7950" max="7950" width="2.25" style="59" customWidth="1"/>
    <col min="7951" max="7951" width="1.75" style="59" customWidth="1"/>
    <col min="7952" max="7952" width="4.625" style="59" customWidth="1"/>
    <col min="7953" max="7953" width="8.875" style="59" bestFit="1" customWidth="1"/>
    <col min="7954" max="7956" width="9.875" style="59" customWidth="1"/>
    <col min="7957" max="8192" width="9" style="59"/>
    <col min="8193" max="8193" width="1.125" style="59" customWidth="1"/>
    <col min="8194" max="8194" width="3.875" style="59" customWidth="1"/>
    <col min="8195" max="8195" width="2.625" style="59" customWidth="1"/>
    <col min="8196" max="8196" width="14.625" style="59" customWidth="1"/>
    <col min="8197" max="8197" width="18.625" style="59" customWidth="1"/>
    <col min="8198" max="8205" width="8.625" style="59" customWidth="1"/>
    <col min="8206" max="8206" width="2.25" style="59" customWidth="1"/>
    <col min="8207" max="8207" width="1.75" style="59" customWidth="1"/>
    <col min="8208" max="8208" width="4.625" style="59" customWidth="1"/>
    <col min="8209" max="8209" width="8.875" style="59" bestFit="1" customWidth="1"/>
    <col min="8210" max="8212" width="9.875" style="59" customWidth="1"/>
    <col min="8213" max="8448" width="9" style="59"/>
    <col min="8449" max="8449" width="1.125" style="59" customWidth="1"/>
    <col min="8450" max="8450" width="3.875" style="59" customWidth="1"/>
    <col min="8451" max="8451" width="2.625" style="59" customWidth="1"/>
    <col min="8452" max="8452" width="14.625" style="59" customWidth="1"/>
    <col min="8453" max="8453" width="18.625" style="59" customWidth="1"/>
    <col min="8454" max="8461" width="8.625" style="59" customWidth="1"/>
    <col min="8462" max="8462" width="2.25" style="59" customWidth="1"/>
    <col min="8463" max="8463" width="1.75" style="59" customWidth="1"/>
    <col min="8464" max="8464" width="4.625" style="59" customWidth="1"/>
    <col min="8465" max="8465" width="8.875" style="59" bestFit="1" customWidth="1"/>
    <col min="8466" max="8468" width="9.875" style="59" customWidth="1"/>
    <col min="8469" max="8704" width="9" style="59"/>
    <col min="8705" max="8705" width="1.125" style="59" customWidth="1"/>
    <col min="8706" max="8706" width="3.875" style="59" customWidth="1"/>
    <col min="8707" max="8707" width="2.625" style="59" customWidth="1"/>
    <col min="8708" max="8708" width="14.625" style="59" customWidth="1"/>
    <col min="8709" max="8709" width="18.625" style="59" customWidth="1"/>
    <col min="8710" max="8717" width="8.625" style="59" customWidth="1"/>
    <col min="8718" max="8718" width="2.25" style="59" customWidth="1"/>
    <col min="8719" max="8719" width="1.75" style="59" customWidth="1"/>
    <col min="8720" max="8720" width="4.625" style="59" customWidth="1"/>
    <col min="8721" max="8721" width="8.875" style="59" bestFit="1" customWidth="1"/>
    <col min="8722" max="8724" width="9.875" style="59" customWidth="1"/>
    <col min="8725" max="8960" width="9" style="59"/>
    <col min="8961" max="8961" width="1.125" style="59" customWidth="1"/>
    <col min="8962" max="8962" width="3.875" style="59" customWidth="1"/>
    <col min="8963" max="8963" width="2.625" style="59" customWidth="1"/>
    <col min="8964" max="8964" width="14.625" style="59" customWidth="1"/>
    <col min="8965" max="8965" width="18.625" style="59" customWidth="1"/>
    <col min="8966" max="8973" width="8.625" style="59" customWidth="1"/>
    <col min="8974" max="8974" width="2.25" style="59" customWidth="1"/>
    <col min="8975" max="8975" width="1.75" style="59" customWidth="1"/>
    <col min="8976" max="8976" width="4.625" style="59" customWidth="1"/>
    <col min="8977" max="8977" width="8.875" style="59" bestFit="1" customWidth="1"/>
    <col min="8978" max="8980" width="9.875" style="59" customWidth="1"/>
    <col min="8981" max="9216" width="9" style="59"/>
    <col min="9217" max="9217" width="1.125" style="59" customWidth="1"/>
    <col min="9218" max="9218" width="3.875" style="59" customWidth="1"/>
    <col min="9219" max="9219" width="2.625" style="59" customWidth="1"/>
    <col min="9220" max="9220" width="14.625" style="59" customWidth="1"/>
    <col min="9221" max="9221" width="18.625" style="59" customWidth="1"/>
    <col min="9222" max="9229" width="8.625" style="59" customWidth="1"/>
    <col min="9230" max="9230" width="2.25" style="59" customWidth="1"/>
    <col min="9231" max="9231" width="1.75" style="59" customWidth="1"/>
    <col min="9232" max="9232" width="4.625" style="59" customWidth="1"/>
    <col min="9233" max="9233" width="8.875" style="59" bestFit="1" customWidth="1"/>
    <col min="9234" max="9236" width="9.875" style="59" customWidth="1"/>
    <col min="9237" max="9472" width="9" style="59"/>
    <col min="9473" max="9473" width="1.125" style="59" customWidth="1"/>
    <col min="9474" max="9474" width="3.875" style="59" customWidth="1"/>
    <col min="9475" max="9475" width="2.625" style="59" customWidth="1"/>
    <col min="9476" max="9476" width="14.625" style="59" customWidth="1"/>
    <col min="9477" max="9477" width="18.625" style="59" customWidth="1"/>
    <col min="9478" max="9485" width="8.625" style="59" customWidth="1"/>
    <col min="9486" max="9486" width="2.25" style="59" customWidth="1"/>
    <col min="9487" max="9487" width="1.75" style="59" customWidth="1"/>
    <col min="9488" max="9488" width="4.625" style="59" customWidth="1"/>
    <col min="9489" max="9489" width="8.875" style="59" bestFit="1" customWidth="1"/>
    <col min="9490" max="9492" width="9.875" style="59" customWidth="1"/>
    <col min="9493" max="9728" width="9" style="59"/>
    <col min="9729" max="9729" width="1.125" style="59" customWidth="1"/>
    <col min="9730" max="9730" width="3.875" style="59" customWidth="1"/>
    <col min="9731" max="9731" width="2.625" style="59" customWidth="1"/>
    <col min="9732" max="9732" width="14.625" style="59" customWidth="1"/>
    <col min="9733" max="9733" width="18.625" style="59" customWidth="1"/>
    <col min="9734" max="9741" width="8.625" style="59" customWidth="1"/>
    <col min="9742" max="9742" width="2.25" style="59" customWidth="1"/>
    <col min="9743" max="9743" width="1.75" style="59" customWidth="1"/>
    <col min="9744" max="9744" width="4.625" style="59" customWidth="1"/>
    <col min="9745" max="9745" width="8.875" style="59" bestFit="1" customWidth="1"/>
    <col min="9746" max="9748" width="9.875" style="59" customWidth="1"/>
    <col min="9749" max="9984" width="9" style="59"/>
    <col min="9985" max="9985" width="1.125" style="59" customWidth="1"/>
    <col min="9986" max="9986" width="3.875" style="59" customWidth="1"/>
    <col min="9987" max="9987" width="2.625" style="59" customWidth="1"/>
    <col min="9988" max="9988" width="14.625" style="59" customWidth="1"/>
    <col min="9989" max="9989" width="18.625" style="59" customWidth="1"/>
    <col min="9990" max="9997" width="8.625" style="59" customWidth="1"/>
    <col min="9998" max="9998" width="2.25" style="59" customWidth="1"/>
    <col min="9999" max="9999" width="1.75" style="59" customWidth="1"/>
    <col min="10000" max="10000" width="4.625" style="59" customWidth="1"/>
    <col min="10001" max="10001" width="8.875" style="59" bestFit="1" customWidth="1"/>
    <col min="10002" max="10004" width="9.875" style="59" customWidth="1"/>
    <col min="10005" max="10240" width="9" style="59"/>
    <col min="10241" max="10241" width="1.125" style="59" customWidth="1"/>
    <col min="10242" max="10242" width="3.875" style="59" customWidth="1"/>
    <col min="10243" max="10243" width="2.625" style="59" customWidth="1"/>
    <col min="10244" max="10244" width="14.625" style="59" customWidth="1"/>
    <col min="10245" max="10245" width="18.625" style="59" customWidth="1"/>
    <col min="10246" max="10253" width="8.625" style="59" customWidth="1"/>
    <col min="10254" max="10254" width="2.25" style="59" customWidth="1"/>
    <col min="10255" max="10255" width="1.75" style="59" customWidth="1"/>
    <col min="10256" max="10256" width="4.625" style="59" customWidth="1"/>
    <col min="10257" max="10257" width="8.875" style="59" bestFit="1" customWidth="1"/>
    <col min="10258" max="10260" width="9.875" style="59" customWidth="1"/>
    <col min="10261" max="10496" width="9" style="59"/>
    <col min="10497" max="10497" width="1.125" style="59" customWidth="1"/>
    <col min="10498" max="10498" width="3.875" style="59" customWidth="1"/>
    <col min="10499" max="10499" width="2.625" style="59" customWidth="1"/>
    <col min="10500" max="10500" width="14.625" style="59" customWidth="1"/>
    <col min="10501" max="10501" width="18.625" style="59" customWidth="1"/>
    <col min="10502" max="10509" width="8.625" style="59" customWidth="1"/>
    <col min="10510" max="10510" width="2.25" style="59" customWidth="1"/>
    <col min="10511" max="10511" width="1.75" style="59" customWidth="1"/>
    <col min="10512" max="10512" width="4.625" style="59" customWidth="1"/>
    <col min="10513" max="10513" width="8.875" style="59" bestFit="1" customWidth="1"/>
    <col min="10514" max="10516" width="9.875" style="59" customWidth="1"/>
    <col min="10517" max="10752" width="9" style="59"/>
    <col min="10753" max="10753" width="1.125" style="59" customWidth="1"/>
    <col min="10754" max="10754" width="3.875" style="59" customWidth="1"/>
    <col min="10755" max="10755" width="2.625" style="59" customWidth="1"/>
    <col min="10756" max="10756" width="14.625" style="59" customWidth="1"/>
    <col min="10757" max="10757" width="18.625" style="59" customWidth="1"/>
    <col min="10758" max="10765" width="8.625" style="59" customWidth="1"/>
    <col min="10766" max="10766" width="2.25" style="59" customWidth="1"/>
    <col min="10767" max="10767" width="1.75" style="59" customWidth="1"/>
    <col min="10768" max="10768" width="4.625" style="59" customWidth="1"/>
    <col min="10769" max="10769" width="8.875" style="59" bestFit="1" customWidth="1"/>
    <col min="10770" max="10772" width="9.875" style="59" customWidth="1"/>
    <col min="10773" max="11008" width="9" style="59"/>
    <col min="11009" max="11009" width="1.125" style="59" customWidth="1"/>
    <col min="11010" max="11010" width="3.875" style="59" customWidth="1"/>
    <col min="11011" max="11011" width="2.625" style="59" customWidth="1"/>
    <col min="11012" max="11012" width="14.625" style="59" customWidth="1"/>
    <col min="11013" max="11013" width="18.625" style="59" customWidth="1"/>
    <col min="11014" max="11021" width="8.625" style="59" customWidth="1"/>
    <col min="11022" max="11022" width="2.25" style="59" customWidth="1"/>
    <col min="11023" max="11023" width="1.75" style="59" customWidth="1"/>
    <col min="11024" max="11024" width="4.625" style="59" customWidth="1"/>
    <col min="11025" max="11025" width="8.875" style="59" bestFit="1" customWidth="1"/>
    <col min="11026" max="11028" width="9.875" style="59" customWidth="1"/>
    <col min="11029" max="11264" width="9" style="59"/>
    <col min="11265" max="11265" width="1.125" style="59" customWidth="1"/>
    <col min="11266" max="11266" width="3.875" style="59" customWidth="1"/>
    <col min="11267" max="11267" width="2.625" style="59" customWidth="1"/>
    <col min="11268" max="11268" width="14.625" style="59" customWidth="1"/>
    <col min="11269" max="11269" width="18.625" style="59" customWidth="1"/>
    <col min="11270" max="11277" width="8.625" style="59" customWidth="1"/>
    <col min="11278" max="11278" width="2.25" style="59" customWidth="1"/>
    <col min="11279" max="11279" width="1.75" style="59" customWidth="1"/>
    <col min="11280" max="11280" width="4.625" style="59" customWidth="1"/>
    <col min="11281" max="11281" width="8.875" style="59" bestFit="1" customWidth="1"/>
    <col min="11282" max="11284" width="9.875" style="59" customWidth="1"/>
    <col min="11285" max="11520" width="9" style="59"/>
    <col min="11521" max="11521" width="1.125" style="59" customWidth="1"/>
    <col min="11522" max="11522" width="3.875" style="59" customWidth="1"/>
    <col min="11523" max="11523" width="2.625" style="59" customWidth="1"/>
    <col min="11524" max="11524" width="14.625" style="59" customWidth="1"/>
    <col min="11525" max="11525" width="18.625" style="59" customWidth="1"/>
    <col min="11526" max="11533" width="8.625" style="59" customWidth="1"/>
    <col min="11534" max="11534" width="2.25" style="59" customWidth="1"/>
    <col min="11535" max="11535" width="1.75" style="59" customWidth="1"/>
    <col min="11536" max="11536" width="4.625" style="59" customWidth="1"/>
    <col min="11537" max="11537" width="8.875" style="59" bestFit="1" customWidth="1"/>
    <col min="11538" max="11540" width="9.875" style="59" customWidth="1"/>
    <col min="11541" max="11776" width="9" style="59"/>
    <col min="11777" max="11777" width="1.125" style="59" customWidth="1"/>
    <col min="11778" max="11778" width="3.875" style="59" customWidth="1"/>
    <col min="11779" max="11779" width="2.625" style="59" customWidth="1"/>
    <col min="11780" max="11780" width="14.625" style="59" customWidth="1"/>
    <col min="11781" max="11781" width="18.625" style="59" customWidth="1"/>
    <col min="11782" max="11789" width="8.625" style="59" customWidth="1"/>
    <col min="11790" max="11790" width="2.25" style="59" customWidth="1"/>
    <col min="11791" max="11791" width="1.75" style="59" customWidth="1"/>
    <col min="11792" max="11792" width="4.625" style="59" customWidth="1"/>
    <col min="11793" max="11793" width="8.875" style="59" bestFit="1" customWidth="1"/>
    <col min="11794" max="11796" width="9.875" style="59" customWidth="1"/>
    <col min="11797" max="12032" width="9" style="59"/>
    <col min="12033" max="12033" width="1.125" style="59" customWidth="1"/>
    <col min="12034" max="12034" width="3.875" style="59" customWidth="1"/>
    <col min="12035" max="12035" width="2.625" style="59" customWidth="1"/>
    <col min="12036" max="12036" width="14.625" style="59" customWidth="1"/>
    <col min="12037" max="12037" width="18.625" style="59" customWidth="1"/>
    <col min="12038" max="12045" width="8.625" style="59" customWidth="1"/>
    <col min="12046" max="12046" width="2.25" style="59" customWidth="1"/>
    <col min="12047" max="12047" width="1.75" style="59" customWidth="1"/>
    <col min="12048" max="12048" width="4.625" style="59" customWidth="1"/>
    <col min="12049" max="12049" width="8.875" style="59" bestFit="1" customWidth="1"/>
    <col min="12050" max="12052" width="9.875" style="59" customWidth="1"/>
    <col min="12053" max="12288" width="9" style="59"/>
    <col min="12289" max="12289" width="1.125" style="59" customWidth="1"/>
    <col min="12290" max="12290" width="3.875" style="59" customWidth="1"/>
    <col min="12291" max="12291" width="2.625" style="59" customWidth="1"/>
    <col min="12292" max="12292" width="14.625" style="59" customWidth="1"/>
    <col min="12293" max="12293" width="18.625" style="59" customWidth="1"/>
    <col min="12294" max="12301" width="8.625" style="59" customWidth="1"/>
    <col min="12302" max="12302" width="2.25" style="59" customWidth="1"/>
    <col min="12303" max="12303" width="1.75" style="59" customWidth="1"/>
    <col min="12304" max="12304" width="4.625" style="59" customWidth="1"/>
    <col min="12305" max="12305" width="8.875" style="59" bestFit="1" customWidth="1"/>
    <col min="12306" max="12308" width="9.875" style="59" customWidth="1"/>
    <col min="12309" max="12544" width="9" style="59"/>
    <col min="12545" max="12545" width="1.125" style="59" customWidth="1"/>
    <col min="12546" max="12546" width="3.875" style="59" customWidth="1"/>
    <col min="12547" max="12547" width="2.625" style="59" customWidth="1"/>
    <col min="12548" max="12548" width="14.625" style="59" customWidth="1"/>
    <col min="12549" max="12549" width="18.625" style="59" customWidth="1"/>
    <col min="12550" max="12557" width="8.625" style="59" customWidth="1"/>
    <col min="12558" max="12558" width="2.25" style="59" customWidth="1"/>
    <col min="12559" max="12559" width="1.75" style="59" customWidth="1"/>
    <col min="12560" max="12560" width="4.625" style="59" customWidth="1"/>
    <col min="12561" max="12561" width="8.875" style="59" bestFit="1" customWidth="1"/>
    <col min="12562" max="12564" width="9.875" style="59" customWidth="1"/>
    <col min="12565" max="12800" width="9" style="59"/>
    <col min="12801" max="12801" width="1.125" style="59" customWidth="1"/>
    <col min="12802" max="12802" width="3.875" style="59" customWidth="1"/>
    <col min="12803" max="12803" width="2.625" style="59" customWidth="1"/>
    <col min="12804" max="12804" width="14.625" style="59" customWidth="1"/>
    <col min="12805" max="12805" width="18.625" style="59" customWidth="1"/>
    <col min="12806" max="12813" width="8.625" style="59" customWidth="1"/>
    <col min="12814" max="12814" width="2.25" style="59" customWidth="1"/>
    <col min="12815" max="12815" width="1.75" style="59" customWidth="1"/>
    <col min="12816" max="12816" width="4.625" style="59" customWidth="1"/>
    <col min="12817" max="12817" width="8.875" style="59" bestFit="1" customWidth="1"/>
    <col min="12818" max="12820" width="9.875" style="59" customWidth="1"/>
    <col min="12821" max="13056" width="9" style="59"/>
    <col min="13057" max="13057" width="1.125" style="59" customWidth="1"/>
    <col min="13058" max="13058" width="3.875" style="59" customWidth="1"/>
    <col min="13059" max="13059" width="2.625" style="59" customWidth="1"/>
    <col min="13060" max="13060" width="14.625" style="59" customWidth="1"/>
    <col min="13061" max="13061" width="18.625" style="59" customWidth="1"/>
    <col min="13062" max="13069" width="8.625" style="59" customWidth="1"/>
    <col min="13070" max="13070" width="2.25" style="59" customWidth="1"/>
    <col min="13071" max="13071" width="1.75" style="59" customWidth="1"/>
    <col min="13072" max="13072" width="4.625" style="59" customWidth="1"/>
    <col min="13073" max="13073" width="8.875" style="59" bestFit="1" customWidth="1"/>
    <col min="13074" max="13076" width="9.875" style="59" customWidth="1"/>
    <col min="13077" max="13312" width="9" style="59"/>
    <col min="13313" max="13313" width="1.125" style="59" customWidth="1"/>
    <col min="13314" max="13314" width="3.875" style="59" customWidth="1"/>
    <col min="13315" max="13315" width="2.625" style="59" customWidth="1"/>
    <col min="13316" max="13316" width="14.625" style="59" customWidth="1"/>
    <col min="13317" max="13317" width="18.625" style="59" customWidth="1"/>
    <col min="13318" max="13325" width="8.625" style="59" customWidth="1"/>
    <col min="13326" max="13326" width="2.25" style="59" customWidth="1"/>
    <col min="13327" max="13327" width="1.75" style="59" customWidth="1"/>
    <col min="13328" max="13328" width="4.625" style="59" customWidth="1"/>
    <col min="13329" max="13329" width="8.875" style="59" bestFit="1" customWidth="1"/>
    <col min="13330" max="13332" width="9.875" style="59" customWidth="1"/>
    <col min="13333" max="13568" width="9" style="59"/>
    <col min="13569" max="13569" width="1.125" style="59" customWidth="1"/>
    <col min="13570" max="13570" width="3.875" style="59" customWidth="1"/>
    <col min="13571" max="13571" width="2.625" style="59" customWidth="1"/>
    <col min="13572" max="13572" width="14.625" style="59" customWidth="1"/>
    <col min="13573" max="13573" width="18.625" style="59" customWidth="1"/>
    <col min="13574" max="13581" width="8.625" style="59" customWidth="1"/>
    <col min="13582" max="13582" width="2.25" style="59" customWidth="1"/>
    <col min="13583" max="13583" width="1.75" style="59" customWidth="1"/>
    <col min="13584" max="13584" width="4.625" style="59" customWidth="1"/>
    <col min="13585" max="13585" width="8.875" style="59" bestFit="1" customWidth="1"/>
    <col min="13586" max="13588" width="9.875" style="59" customWidth="1"/>
    <col min="13589" max="13824" width="9" style="59"/>
    <col min="13825" max="13825" width="1.125" style="59" customWidth="1"/>
    <col min="13826" max="13826" width="3.875" style="59" customWidth="1"/>
    <col min="13827" max="13827" width="2.625" style="59" customWidth="1"/>
    <col min="13828" max="13828" width="14.625" style="59" customWidth="1"/>
    <col min="13829" max="13829" width="18.625" style="59" customWidth="1"/>
    <col min="13830" max="13837" width="8.625" style="59" customWidth="1"/>
    <col min="13838" max="13838" width="2.25" style="59" customWidth="1"/>
    <col min="13839" max="13839" width="1.75" style="59" customWidth="1"/>
    <col min="13840" max="13840" width="4.625" style="59" customWidth="1"/>
    <col min="13841" max="13841" width="8.875" style="59" bestFit="1" customWidth="1"/>
    <col min="13842" max="13844" width="9.875" style="59" customWidth="1"/>
    <col min="13845" max="14080" width="9" style="59"/>
    <col min="14081" max="14081" width="1.125" style="59" customWidth="1"/>
    <col min="14082" max="14082" width="3.875" style="59" customWidth="1"/>
    <col min="14083" max="14083" width="2.625" style="59" customWidth="1"/>
    <col min="14084" max="14084" width="14.625" style="59" customWidth="1"/>
    <col min="14085" max="14085" width="18.625" style="59" customWidth="1"/>
    <col min="14086" max="14093" width="8.625" style="59" customWidth="1"/>
    <col min="14094" max="14094" width="2.25" style="59" customWidth="1"/>
    <col min="14095" max="14095" width="1.75" style="59" customWidth="1"/>
    <col min="14096" max="14096" width="4.625" style="59" customWidth="1"/>
    <col min="14097" max="14097" width="8.875" style="59" bestFit="1" customWidth="1"/>
    <col min="14098" max="14100" width="9.875" style="59" customWidth="1"/>
    <col min="14101" max="14336" width="9" style="59"/>
    <col min="14337" max="14337" width="1.125" style="59" customWidth="1"/>
    <col min="14338" max="14338" width="3.875" style="59" customWidth="1"/>
    <col min="14339" max="14339" width="2.625" style="59" customWidth="1"/>
    <col min="14340" max="14340" width="14.625" style="59" customWidth="1"/>
    <col min="14341" max="14341" width="18.625" style="59" customWidth="1"/>
    <col min="14342" max="14349" width="8.625" style="59" customWidth="1"/>
    <col min="14350" max="14350" width="2.25" style="59" customWidth="1"/>
    <col min="14351" max="14351" width="1.75" style="59" customWidth="1"/>
    <col min="14352" max="14352" width="4.625" style="59" customWidth="1"/>
    <col min="14353" max="14353" width="8.875" style="59" bestFit="1" customWidth="1"/>
    <col min="14354" max="14356" width="9.875" style="59" customWidth="1"/>
    <col min="14357" max="14592" width="9" style="59"/>
    <col min="14593" max="14593" width="1.125" style="59" customWidth="1"/>
    <col min="14594" max="14594" width="3.875" style="59" customWidth="1"/>
    <col min="14595" max="14595" width="2.625" style="59" customWidth="1"/>
    <col min="14596" max="14596" width="14.625" style="59" customWidth="1"/>
    <col min="14597" max="14597" width="18.625" style="59" customWidth="1"/>
    <col min="14598" max="14605" width="8.625" style="59" customWidth="1"/>
    <col min="14606" max="14606" width="2.25" style="59" customWidth="1"/>
    <col min="14607" max="14607" width="1.75" style="59" customWidth="1"/>
    <col min="14608" max="14608" width="4.625" style="59" customWidth="1"/>
    <col min="14609" max="14609" width="8.875" style="59" bestFit="1" customWidth="1"/>
    <col min="14610" max="14612" width="9.875" style="59" customWidth="1"/>
    <col min="14613" max="14848" width="9" style="59"/>
    <col min="14849" max="14849" width="1.125" style="59" customWidth="1"/>
    <col min="14850" max="14850" width="3.875" style="59" customWidth="1"/>
    <col min="14851" max="14851" width="2.625" style="59" customWidth="1"/>
    <col min="14852" max="14852" width="14.625" style="59" customWidth="1"/>
    <col min="14853" max="14853" width="18.625" style="59" customWidth="1"/>
    <col min="14854" max="14861" width="8.625" style="59" customWidth="1"/>
    <col min="14862" max="14862" width="2.25" style="59" customWidth="1"/>
    <col min="14863" max="14863" width="1.75" style="59" customWidth="1"/>
    <col min="14864" max="14864" width="4.625" style="59" customWidth="1"/>
    <col min="14865" max="14865" width="8.875" style="59" bestFit="1" customWidth="1"/>
    <col min="14866" max="14868" width="9.875" style="59" customWidth="1"/>
    <col min="14869" max="15104" width="9" style="59"/>
    <col min="15105" max="15105" width="1.125" style="59" customWidth="1"/>
    <col min="15106" max="15106" width="3.875" style="59" customWidth="1"/>
    <col min="15107" max="15107" width="2.625" style="59" customWidth="1"/>
    <col min="15108" max="15108" width="14.625" style="59" customWidth="1"/>
    <col min="15109" max="15109" width="18.625" style="59" customWidth="1"/>
    <col min="15110" max="15117" width="8.625" style="59" customWidth="1"/>
    <col min="15118" max="15118" width="2.25" style="59" customWidth="1"/>
    <col min="15119" max="15119" width="1.75" style="59" customWidth="1"/>
    <col min="15120" max="15120" width="4.625" style="59" customWidth="1"/>
    <col min="15121" max="15121" width="8.875" style="59" bestFit="1" customWidth="1"/>
    <col min="15122" max="15124" width="9.875" style="59" customWidth="1"/>
    <col min="15125" max="15360" width="9" style="59"/>
    <col min="15361" max="15361" width="1.125" style="59" customWidth="1"/>
    <col min="15362" max="15362" width="3.875" style="59" customWidth="1"/>
    <col min="15363" max="15363" width="2.625" style="59" customWidth="1"/>
    <col min="15364" max="15364" width="14.625" style="59" customWidth="1"/>
    <col min="15365" max="15365" width="18.625" style="59" customWidth="1"/>
    <col min="15366" max="15373" width="8.625" style="59" customWidth="1"/>
    <col min="15374" max="15374" width="2.25" style="59" customWidth="1"/>
    <col min="15375" max="15375" width="1.75" style="59" customWidth="1"/>
    <col min="15376" max="15376" width="4.625" style="59" customWidth="1"/>
    <col min="15377" max="15377" width="8.875" style="59" bestFit="1" customWidth="1"/>
    <col min="15378" max="15380" width="9.875" style="59" customWidth="1"/>
    <col min="15381" max="15616" width="9" style="59"/>
    <col min="15617" max="15617" width="1.125" style="59" customWidth="1"/>
    <col min="15618" max="15618" width="3.875" style="59" customWidth="1"/>
    <col min="15619" max="15619" width="2.625" style="59" customWidth="1"/>
    <col min="15620" max="15620" width="14.625" style="59" customWidth="1"/>
    <col min="15621" max="15621" width="18.625" style="59" customWidth="1"/>
    <col min="15622" max="15629" width="8.625" style="59" customWidth="1"/>
    <col min="15630" max="15630" width="2.25" style="59" customWidth="1"/>
    <col min="15631" max="15631" width="1.75" style="59" customWidth="1"/>
    <col min="15632" max="15632" width="4.625" style="59" customWidth="1"/>
    <col min="15633" max="15633" width="8.875" style="59" bestFit="1" customWidth="1"/>
    <col min="15634" max="15636" width="9.875" style="59" customWidth="1"/>
    <col min="15637" max="15872" width="9" style="59"/>
    <col min="15873" max="15873" width="1.125" style="59" customWidth="1"/>
    <col min="15874" max="15874" width="3.875" style="59" customWidth="1"/>
    <col min="15875" max="15875" width="2.625" style="59" customWidth="1"/>
    <col min="15876" max="15876" width="14.625" style="59" customWidth="1"/>
    <col min="15877" max="15877" width="18.625" style="59" customWidth="1"/>
    <col min="15878" max="15885" width="8.625" style="59" customWidth="1"/>
    <col min="15886" max="15886" width="2.25" style="59" customWidth="1"/>
    <col min="15887" max="15887" width="1.75" style="59" customWidth="1"/>
    <col min="15888" max="15888" width="4.625" style="59" customWidth="1"/>
    <col min="15889" max="15889" width="8.875" style="59" bestFit="1" customWidth="1"/>
    <col min="15890" max="15892" width="9.875" style="59" customWidth="1"/>
    <col min="15893" max="16128" width="9" style="59"/>
    <col min="16129" max="16129" width="1.125" style="59" customWidth="1"/>
    <col min="16130" max="16130" width="3.875" style="59" customWidth="1"/>
    <col min="16131" max="16131" width="2.625" style="59" customWidth="1"/>
    <col min="16132" max="16132" width="14.625" style="59" customWidth="1"/>
    <col min="16133" max="16133" width="18.625" style="59" customWidth="1"/>
    <col min="16134" max="16141" width="8.625" style="59" customWidth="1"/>
    <col min="16142" max="16142" width="2.25" style="59" customWidth="1"/>
    <col min="16143" max="16143" width="1.75" style="59" customWidth="1"/>
    <col min="16144" max="16144" width="4.625" style="59" customWidth="1"/>
    <col min="16145" max="16145" width="8.875" style="59" bestFit="1" customWidth="1"/>
    <col min="16146" max="16148" width="9.875" style="59" customWidth="1"/>
    <col min="16149" max="16384" width="9" style="59"/>
  </cols>
  <sheetData>
    <row r="1" spans="1:27" ht="18" customHeight="1"/>
    <row r="2" spans="1:27" ht="3.7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1"/>
      <c r="Q2" s="61"/>
      <c r="R2" s="61"/>
      <c r="S2" s="61"/>
      <c r="T2" s="61"/>
      <c r="U2" s="61"/>
      <c r="V2" s="61"/>
    </row>
    <row r="3" spans="1:27" ht="9.9499999999999993" customHeight="1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4"/>
      <c r="P3" s="61"/>
      <c r="Q3" s="61"/>
      <c r="R3" s="61"/>
      <c r="S3" s="61"/>
      <c r="T3" s="61"/>
      <c r="U3" s="61"/>
      <c r="V3" s="61"/>
    </row>
    <row r="4" spans="1:27" ht="20.100000000000001" customHeight="1">
      <c r="A4" s="65"/>
      <c r="B4" s="61"/>
      <c r="C4" s="61"/>
      <c r="D4" s="61"/>
      <c r="E4" s="61"/>
      <c r="F4" s="61"/>
      <c r="G4" s="61"/>
      <c r="H4" s="61"/>
      <c r="I4" s="66" t="s">
        <v>274</v>
      </c>
      <c r="J4" s="66"/>
      <c r="K4" s="67"/>
      <c r="L4" s="179"/>
      <c r="M4" s="179"/>
      <c r="N4" s="68"/>
      <c r="O4" s="69"/>
      <c r="P4" s="61"/>
      <c r="Q4" s="61"/>
      <c r="R4" s="61"/>
      <c r="S4" s="231"/>
      <c r="T4" s="61"/>
      <c r="U4" s="61"/>
      <c r="V4" s="61"/>
      <c r="AA4" s="236" t="s">
        <v>351</v>
      </c>
    </row>
    <row r="5" spans="1:27" ht="20.100000000000001" customHeight="1">
      <c r="A5" s="65"/>
      <c r="B5" s="284" t="s">
        <v>275</v>
      </c>
      <c r="C5" s="71"/>
      <c r="D5" s="63"/>
      <c r="E5" s="63"/>
      <c r="F5" s="64"/>
      <c r="G5" s="61"/>
      <c r="H5" s="61"/>
      <c r="I5" s="66" t="s">
        <v>276</v>
      </c>
      <c r="J5" s="287">
        <v>44308</v>
      </c>
      <c r="K5" s="288"/>
      <c r="L5" s="288"/>
      <c r="M5" s="187"/>
      <c r="N5" s="72"/>
      <c r="O5" s="69"/>
      <c r="P5" s="61"/>
      <c r="Q5" s="61"/>
      <c r="R5" s="61"/>
      <c r="S5" s="70"/>
      <c r="T5" s="61"/>
      <c r="U5" s="61"/>
      <c r="V5" s="61"/>
      <c r="AA5" s="236" t="s">
        <v>352</v>
      </c>
    </row>
    <row r="6" spans="1:27" ht="20.100000000000001" customHeight="1">
      <c r="A6" s="65"/>
      <c r="B6" s="285"/>
      <c r="C6" s="153" t="s">
        <v>277</v>
      </c>
      <c r="D6" s="152"/>
      <c r="E6" s="61"/>
      <c r="F6" s="69"/>
      <c r="G6" s="61"/>
      <c r="H6" s="61"/>
      <c r="I6" s="66" t="s">
        <v>278</v>
      </c>
      <c r="J6" s="289" t="s">
        <v>279</v>
      </c>
      <c r="K6" s="290"/>
      <c r="L6" s="290"/>
      <c r="M6" s="290"/>
      <c r="N6" s="291"/>
      <c r="O6" s="69"/>
      <c r="P6" s="61"/>
      <c r="Q6" s="61"/>
      <c r="R6" s="61"/>
      <c r="S6" s="61"/>
      <c r="T6" s="61"/>
      <c r="U6" s="61"/>
      <c r="V6" s="61"/>
    </row>
    <row r="7" spans="1:27" ht="8.25" customHeight="1">
      <c r="A7" s="65"/>
      <c r="B7" s="286"/>
      <c r="C7" s="60"/>
      <c r="D7" s="60"/>
      <c r="E7" s="60"/>
      <c r="F7" s="73"/>
      <c r="G7" s="61"/>
      <c r="H7" s="61"/>
      <c r="I7" s="61"/>
      <c r="J7" s="61"/>
      <c r="K7" s="61"/>
      <c r="L7" s="61"/>
      <c r="M7" s="61"/>
      <c r="N7" s="61"/>
      <c r="O7" s="69"/>
      <c r="P7" s="61"/>
      <c r="Q7" s="61"/>
      <c r="R7" s="61"/>
      <c r="S7" s="61"/>
      <c r="T7" s="61"/>
      <c r="U7" s="61"/>
      <c r="V7" s="61"/>
    </row>
    <row r="8" spans="1:27">
      <c r="A8" s="65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9"/>
      <c r="P8" s="61"/>
      <c r="Q8" s="61"/>
      <c r="R8" s="61"/>
      <c r="S8" s="232"/>
      <c r="T8" s="61"/>
      <c r="U8" s="61"/>
      <c r="V8" s="61"/>
    </row>
    <row r="9" spans="1:27" ht="20.100000000000001" customHeight="1">
      <c r="A9" s="65"/>
      <c r="B9" s="284" t="s">
        <v>280</v>
      </c>
      <c r="C9" s="74" t="s">
        <v>281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64"/>
      <c r="O9" s="69"/>
      <c r="P9" s="61"/>
      <c r="Q9" s="61"/>
      <c r="R9" s="61"/>
      <c r="S9" s="61"/>
      <c r="T9" s="61"/>
      <c r="U9" s="61"/>
      <c r="V9" s="61"/>
    </row>
    <row r="10" spans="1:27" ht="20.100000000000001" customHeight="1">
      <c r="A10" s="65"/>
      <c r="B10" s="286"/>
      <c r="C10" s="76"/>
      <c r="D10" s="77"/>
      <c r="E10" s="77"/>
      <c r="F10" s="77"/>
      <c r="G10" s="77"/>
      <c r="H10" s="77"/>
      <c r="I10" s="77"/>
      <c r="J10" s="77"/>
      <c r="K10" s="77"/>
      <c r="L10" s="77"/>
      <c r="M10" s="78" t="s">
        <v>282</v>
      </c>
      <c r="N10" s="73"/>
      <c r="O10" s="69"/>
      <c r="P10" s="61"/>
      <c r="Q10" s="61"/>
      <c r="R10" s="61"/>
      <c r="S10" s="61"/>
      <c r="T10" s="61"/>
      <c r="U10" s="61"/>
      <c r="V10" s="61"/>
    </row>
    <row r="11" spans="1:27">
      <c r="A11" s="65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9"/>
      <c r="P11" s="61"/>
      <c r="Q11" s="61"/>
      <c r="R11" s="61"/>
      <c r="S11" s="61"/>
      <c r="T11" s="61"/>
      <c r="U11" s="61"/>
      <c r="V11" s="61"/>
    </row>
    <row r="12" spans="1:27" ht="6" customHeight="1">
      <c r="A12" s="65"/>
      <c r="B12" s="292" t="s">
        <v>283</v>
      </c>
      <c r="C12" s="79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64"/>
      <c r="O12" s="69"/>
      <c r="P12" s="61"/>
      <c r="Q12" s="61"/>
      <c r="R12" s="61"/>
      <c r="S12" s="61"/>
      <c r="T12" s="61"/>
      <c r="U12" s="61"/>
      <c r="V12" s="61"/>
    </row>
    <row r="13" spans="1:27" ht="20.100000000000001" customHeight="1">
      <c r="A13" s="65"/>
      <c r="B13" s="293"/>
      <c r="C13" s="81" t="s">
        <v>339</v>
      </c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69"/>
      <c r="O13" s="69"/>
      <c r="P13" s="61"/>
      <c r="Q13" s="61"/>
      <c r="R13" s="61"/>
      <c r="S13" s="61"/>
      <c r="T13" s="61"/>
      <c r="U13" s="61"/>
      <c r="V13" s="61"/>
    </row>
    <row r="14" spans="1:27" ht="20.100000000000001" customHeight="1">
      <c r="A14" s="65"/>
      <c r="B14" s="294"/>
      <c r="C14" s="295" t="s">
        <v>336</v>
      </c>
      <c r="D14" s="296"/>
      <c r="E14" s="296"/>
      <c r="F14" s="296"/>
      <c r="G14" s="296"/>
      <c r="H14" s="296"/>
      <c r="I14" s="296"/>
      <c r="J14" s="296"/>
      <c r="K14" s="296"/>
      <c r="L14" s="296"/>
      <c r="M14" s="188"/>
      <c r="N14" s="73"/>
      <c r="O14" s="69"/>
      <c r="P14" s="61"/>
      <c r="Q14" s="61"/>
      <c r="R14" s="61"/>
      <c r="S14" s="297"/>
      <c r="T14" s="297"/>
      <c r="U14" s="297"/>
      <c r="V14" s="297"/>
      <c r="W14" s="297"/>
      <c r="X14" s="297"/>
      <c r="Y14" s="297"/>
      <c r="Z14" s="297"/>
      <c r="AA14" s="297"/>
    </row>
    <row r="15" spans="1:27">
      <c r="A15" s="65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9"/>
      <c r="P15" s="61"/>
      <c r="Q15" s="61"/>
      <c r="R15" s="61"/>
      <c r="S15" s="61"/>
      <c r="T15" s="61"/>
      <c r="U15" s="61"/>
      <c r="V15" s="283"/>
      <c r="W15" s="283"/>
      <c r="X15" s="283"/>
    </row>
    <row r="16" spans="1:27" ht="18" customHeight="1">
      <c r="A16" s="65"/>
      <c r="B16" s="298" t="s">
        <v>284</v>
      </c>
      <c r="C16" s="8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84" t="s">
        <v>285</v>
      </c>
      <c r="O16" s="69"/>
      <c r="P16" s="61"/>
      <c r="Q16" s="61"/>
      <c r="R16" s="61"/>
      <c r="S16" s="61"/>
      <c r="T16" s="61"/>
      <c r="U16" s="61"/>
      <c r="V16" s="283"/>
      <c r="W16" s="283"/>
      <c r="X16" s="283"/>
    </row>
    <row r="17" spans="1:27" ht="18" customHeight="1">
      <c r="A17" s="65"/>
      <c r="B17" s="299"/>
      <c r="C17" s="91" t="s">
        <v>342</v>
      </c>
      <c r="D17" s="61"/>
      <c r="E17" s="61"/>
      <c r="F17" s="86"/>
      <c r="G17" s="86"/>
      <c r="H17" s="87"/>
      <c r="I17" s="87"/>
      <c r="J17" s="87"/>
      <c r="K17" s="87"/>
      <c r="L17" s="88"/>
      <c r="M17" s="88"/>
      <c r="N17" s="69"/>
      <c r="O17" s="69"/>
      <c r="P17" s="61"/>
      <c r="Q17" s="61"/>
      <c r="R17" s="61"/>
      <c r="S17" s="61"/>
      <c r="T17" s="61"/>
      <c r="U17" s="61"/>
      <c r="V17" s="61"/>
      <c r="W17" s="89"/>
      <c r="X17" s="90"/>
      <c r="Y17" s="90"/>
    </row>
    <row r="18" spans="1:27" ht="18" customHeight="1">
      <c r="A18" s="65"/>
      <c r="B18" s="299"/>
      <c r="C18" s="91"/>
      <c r="D18" s="61"/>
      <c r="E18" s="61"/>
      <c r="F18" s="86"/>
      <c r="G18" s="86"/>
      <c r="H18" s="87"/>
      <c r="I18" s="87"/>
      <c r="J18" s="87"/>
      <c r="K18" s="87"/>
      <c r="L18" s="88"/>
      <c r="M18" s="88"/>
      <c r="N18" s="69"/>
      <c r="O18" s="69"/>
      <c r="P18" s="61"/>
      <c r="Q18" s="61"/>
      <c r="R18" s="61"/>
      <c r="S18" s="61"/>
      <c r="T18" s="61"/>
      <c r="U18" s="61"/>
      <c r="V18" s="61"/>
      <c r="W18" s="89"/>
      <c r="X18" s="90"/>
      <c r="Y18" s="90"/>
    </row>
    <row r="19" spans="1:27" ht="18" customHeight="1">
      <c r="A19" s="65"/>
      <c r="B19" s="299"/>
      <c r="C19" s="91"/>
      <c r="D19" s="61" t="s">
        <v>340</v>
      </c>
      <c r="E19" s="91"/>
      <c r="F19" s="61"/>
      <c r="G19" s="61"/>
      <c r="H19" s="61"/>
      <c r="I19" s="61"/>
      <c r="J19" s="61"/>
      <c r="K19" s="89"/>
      <c r="L19" s="61"/>
      <c r="M19" s="61"/>
      <c r="N19" s="69"/>
      <c r="O19" s="69"/>
      <c r="P19" s="61"/>
      <c r="Q19" s="61"/>
      <c r="R19" s="228" t="s">
        <v>345</v>
      </c>
      <c r="S19" s="61"/>
      <c r="T19" s="61" t="s">
        <v>287</v>
      </c>
      <c r="U19" s="61"/>
      <c r="V19" s="61" t="s">
        <v>288</v>
      </c>
      <c r="W19" s="89"/>
      <c r="X19" s="90"/>
      <c r="Y19" s="90"/>
    </row>
    <row r="20" spans="1:27" ht="18" customHeight="1">
      <c r="A20" s="65"/>
      <c r="B20" s="299"/>
      <c r="C20" s="61"/>
      <c r="D20" s="301" t="s">
        <v>289</v>
      </c>
      <c r="E20" s="302"/>
      <c r="F20" s="303" t="s">
        <v>290</v>
      </c>
      <c r="G20" s="302"/>
      <c r="H20" s="303" t="s">
        <v>291</v>
      </c>
      <c r="I20" s="302"/>
      <c r="J20" s="247"/>
      <c r="K20" s="248"/>
      <c r="N20" s="69"/>
      <c r="O20" s="69"/>
      <c r="P20" s="61"/>
      <c r="Q20" s="61"/>
      <c r="S20" s="61"/>
      <c r="T20" s="254" t="s">
        <v>292</v>
      </c>
      <c r="U20" s="255"/>
      <c r="V20" s="254" t="s">
        <v>293</v>
      </c>
      <c r="W20" s="255"/>
      <c r="X20" s="90"/>
      <c r="Y20" s="230" t="s">
        <v>349</v>
      </c>
      <c r="Z20" s="230" t="s">
        <v>348</v>
      </c>
      <c r="AA20" s="59" t="s">
        <v>350</v>
      </c>
    </row>
    <row r="21" spans="1:27" ht="18" customHeight="1">
      <c r="A21" s="65"/>
      <c r="B21" s="299"/>
      <c r="C21" s="61"/>
      <c r="D21" s="304" t="s">
        <v>294</v>
      </c>
      <c r="E21" s="305"/>
      <c r="F21" s="275">
        <f>'73, IEC62552.2015'!K9</f>
        <v>181.8</v>
      </c>
      <c r="G21" s="276"/>
      <c r="H21" s="306">
        <f>IF(H$23=ROUND(F$21,0)+ROUND(F$22,0),ROUND(F$21,0),IF($Y$21&lt;$Y$27,ROUND(F$21,0),IF($Y$21=$Y$27,IF($AA$21&lt;$AA$27,ROUND(F$21,0),H$23-ROUND(F$22,0)),H$23-ROUND(F$22,0))))</f>
        <v>182</v>
      </c>
      <c r="I21" s="307"/>
      <c r="J21" s="249"/>
      <c r="K21" s="246"/>
      <c r="N21" s="69"/>
      <c r="O21" s="69"/>
      <c r="P21" s="61"/>
      <c r="Q21" s="61" t="b">
        <f>R21=H21</f>
        <v>1</v>
      </c>
      <c r="R21" s="104">
        <f>ROUND(F21,0)</f>
        <v>182</v>
      </c>
      <c r="S21" s="61" t="s">
        <v>295</v>
      </c>
      <c r="T21" s="275">
        <f>F21-R21</f>
        <v>-0.19999999999998863</v>
      </c>
      <c r="U21" s="276"/>
      <c r="V21" s="252">
        <f>F21/R21</f>
        <v>0.99890109890109902</v>
      </c>
      <c r="W21" s="253"/>
      <c r="X21" s="90"/>
      <c r="Y21" s="229">
        <f>ROUND(ABS(T21)+ABS(T22),1)</f>
        <v>0.6</v>
      </c>
      <c r="Z21" s="227">
        <f>ABS(1-V21)</f>
        <v>1.098901098900984E-3</v>
      </c>
      <c r="AA21" s="237">
        <f>Z21+Z22</f>
        <v>2.1627308861350558E-3</v>
      </c>
    </row>
    <row r="22" spans="1:27" ht="18" customHeight="1">
      <c r="A22" s="65"/>
      <c r="B22" s="299"/>
      <c r="C22" s="61"/>
      <c r="D22" s="308" t="s">
        <v>296</v>
      </c>
      <c r="E22" s="309"/>
      <c r="F22" s="310">
        <f>'73, IEC62552.2015'!K10</f>
        <v>376.4</v>
      </c>
      <c r="G22" s="311"/>
      <c r="H22" s="312">
        <f>IF(H$23=ROUND(F$21,0)+ROUND(F$22,0),ROUND(F$22,0),IF($Y$21&lt;$Y$27,H$23-ROUND(F$21,0),IF($Y$21=$Y$27,IF($AA$21&lt;$AA$27,H$23-ROUND(F$21,0),ROUND(F$22,0)),ROUND(F$22,0))))</f>
        <v>376</v>
      </c>
      <c r="I22" s="313"/>
      <c r="J22" s="249"/>
      <c r="K22" s="246"/>
      <c r="N22" s="69"/>
      <c r="O22" s="69"/>
      <c r="P22" s="61"/>
      <c r="Q22" s="61" t="b">
        <f t="shared" ref="Q22:Q23" si="0">R22=H22</f>
        <v>1</v>
      </c>
      <c r="R22" s="104">
        <f>R23-R21</f>
        <v>376</v>
      </c>
      <c r="S22" s="61" t="s">
        <v>347</v>
      </c>
      <c r="T22" s="275">
        <f>F22-R22</f>
        <v>0.39999999999997726</v>
      </c>
      <c r="U22" s="276"/>
      <c r="V22" s="252">
        <f>F22/R22</f>
        <v>1.0010638297872341</v>
      </c>
      <c r="W22" s="253"/>
      <c r="X22" s="90"/>
      <c r="Z22" s="227">
        <f>ABS(1-V22)</f>
        <v>1.0638297872340718E-3</v>
      </c>
    </row>
    <row r="23" spans="1:27" ht="18" customHeight="1">
      <c r="A23" s="65"/>
      <c r="B23" s="299"/>
      <c r="C23" s="61"/>
      <c r="D23" s="254" t="s">
        <v>337</v>
      </c>
      <c r="E23" s="278"/>
      <c r="F23" s="279">
        <f>F21+F22</f>
        <v>558.20000000000005</v>
      </c>
      <c r="G23" s="280"/>
      <c r="H23" s="281">
        <f>ROUND(F23,0)</f>
        <v>558</v>
      </c>
      <c r="I23" s="282"/>
      <c r="J23" s="249"/>
      <c r="K23" s="246"/>
      <c r="N23" s="69"/>
      <c r="O23" s="69"/>
      <c r="P23" s="61"/>
      <c r="Q23" s="61" t="b">
        <f t="shared" si="0"/>
        <v>1</v>
      </c>
      <c r="R23" s="104">
        <f>H23</f>
        <v>558</v>
      </c>
      <c r="S23" s="61" t="s">
        <v>41</v>
      </c>
      <c r="T23" s="271">
        <f>F23-R23</f>
        <v>0.20000000000004547</v>
      </c>
      <c r="U23" s="272"/>
      <c r="V23" s="273">
        <f>F23/R23</f>
        <v>1.0003584229390683</v>
      </c>
      <c r="W23" s="274"/>
      <c r="X23" s="90"/>
    </row>
    <row r="24" spans="1:27" ht="18" customHeight="1">
      <c r="A24" s="65"/>
      <c r="B24" s="299"/>
      <c r="C24" s="91"/>
      <c r="D24" s="91"/>
      <c r="E24" s="91"/>
      <c r="F24" s="61"/>
      <c r="G24" s="61"/>
      <c r="H24" s="61"/>
      <c r="I24" s="61"/>
      <c r="J24" s="61"/>
      <c r="K24" s="61"/>
      <c r="L24" s="61"/>
      <c r="M24" s="61"/>
      <c r="N24" s="69"/>
      <c r="O24" s="69"/>
      <c r="P24" s="61"/>
      <c r="Q24" s="61"/>
      <c r="R24" s="61"/>
      <c r="S24" s="61"/>
      <c r="T24" s="61"/>
      <c r="U24" s="61"/>
      <c r="V24" s="61"/>
      <c r="X24" s="90"/>
    </row>
    <row r="25" spans="1:27" ht="18" customHeight="1">
      <c r="A25" s="65"/>
      <c r="B25" s="299"/>
      <c r="C25" s="61"/>
      <c r="D25" s="277"/>
      <c r="E25" s="277"/>
      <c r="F25" s="266"/>
      <c r="G25" s="266"/>
      <c r="H25" s="251"/>
      <c r="I25" s="251"/>
      <c r="J25" s="251"/>
      <c r="K25" s="251"/>
      <c r="L25" s="61"/>
      <c r="M25" s="225"/>
      <c r="N25" s="69"/>
      <c r="O25" s="69"/>
      <c r="P25" s="61"/>
      <c r="Q25" s="61"/>
      <c r="R25" s="228" t="s">
        <v>346</v>
      </c>
      <c r="S25" s="61"/>
      <c r="T25" s="61" t="s">
        <v>287</v>
      </c>
      <c r="U25" s="61"/>
      <c r="V25" s="61" t="s">
        <v>288</v>
      </c>
      <c r="W25" s="89"/>
      <c r="X25" s="90"/>
    </row>
    <row r="26" spans="1:27" ht="18" customHeight="1">
      <c r="A26" s="65"/>
      <c r="B26" s="299"/>
      <c r="C26" s="61"/>
      <c r="D26" s="251"/>
      <c r="E26" s="251"/>
      <c r="F26" s="269"/>
      <c r="G26" s="269"/>
      <c r="H26" s="269"/>
      <c r="I26" s="269"/>
      <c r="J26" s="270"/>
      <c r="K26" s="270"/>
      <c r="L26" s="248"/>
      <c r="M26" s="248"/>
      <c r="N26" s="92"/>
      <c r="O26" s="69"/>
      <c r="P26" s="61"/>
      <c r="Q26" s="61"/>
      <c r="S26" s="61"/>
      <c r="T26" s="254" t="s">
        <v>292</v>
      </c>
      <c r="U26" s="255"/>
      <c r="V26" s="254" t="s">
        <v>293</v>
      </c>
      <c r="W26" s="255"/>
      <c r="X26" s="90"/>
    </row>
    <row r="27" spans="1:27" ht="18" customHeight="1">
      <c r="A27" s="65"/>
      <c r="B27" s="299"/>
      <c r="C27" s="61"/>
      <c r="D27" s="265"/>
      <c r="E27" s="265"/>
      <c r="F27" s="245"/>
      <c r="G27" s="245"/>
      <c r="H27" s="250"/>
      <c r="I27" s="250"/>
      <c r="J27" s="250"/>
      <c r="K27" s="250"/>
      <c r="L27" s="246"/>
      <c r="M27" s="246"/>
      <c r="N27" s="93"/>
      <c r="O27" s="69"/>
      <c r="P27" s="61"/>
      <c r="Q27" s="61" t="b">
        <f>R27=H21</f>
        <v>1</v>
      </c>
      <c r="R27" s="104">
        <f>R29-R28</f>
        <v>182</v>
      </c>
      <c r="S27" s="61" t="s">
        <v>295</v>
      </c>
      <c r="T27" s="275">
        <f>F21-R27</f>
        <v>-0.19999999999998863</v>
      </c>
      <c r="U27" s="276"/>
      <c r="V27" s="252">
        <f>F21/R27</f>
        <v>0.99890109890109902</v>
      </c>
      <c r="W27" s="253"/>
      <c r="X27" s="90"/>
      <c r="Y27" s="229">
        <f>ROUND(ABS(T27)+ABS(T28),1)</f>
        <v>0.6</v>
      </c>
      <c r="Z27" s="227">
        <f>ABS(1-V27)</f>
        <v>1.098901098900984E-3</v>
      </c>
      <c r="AA27" s="237">
        <f>Z27+Z28</f>
        <v>2.1627308861350558E-3</v>
      </c>
    </row>
    <row r="28" spans="1:27" ht="18" customHeight="1">
      <c r="A28" s="65"/>
      <c r="B28" s="299"/>
      <c r="C28" s="61"/>
      <c r="D28" s="266"/>
      <c r="E28" s="266"/>
      <c r="F28" s="245"/>
      <c r="G28" s="245"/>
      <c r="H28" s="250"/>
      <c r="I28" s="250"/>
      <c r="J28" s="250"/>
      <c r="K28" s="250"/>
      <c r="L28" s="246"/>
      <c r="M28" s="246"/>
      <c r="N28" s="69"/>
      <c r="O28" s="69"/>
      <c r="P28" s="61"/>
      <c r="Q28" s="61" t="b">
        <f t="shared" ref="Q28:Q29" si="1">R28=H22</f>
        <v>1</v>
      </c>
      <c r="R28" s="104">
        <f>ROUND(F22,0)</f>
        <v>376</v>
      </c>
      <c r="S28" s="61" t="s">
        <v>297</v>
      </c>
      <c r="T28" s="275">
        <f>F22-R28</f>
        <v>0.39999999999997726</v>
      </c>
      <c r="U28" s="276"/>
      <c r="V28" s="252">
        <f>F22/R28</f>
        <v>1.0010638297872341</v>
      </c>
      <c r="W28" s="253"/>
      <c r="X28" s="90"/>
      <c r="Z28" s="227">
        <f>ABS(1-V28)</f>
        <v>1.0638297872340718E-3</v>
      </c>
    </row>
    <row r="29" spans="1:27" ht="18" customHeight="1">
      <c r="A29" s="65"/>
      <c r="B29" s="299"/>
      <c r="C29" s="61"/>
      <c r="D29" s="251"/>
      <c r="E29" s="251"/>
      <c r="F29" s="245"/>
      <c r="G29" s="245"/>
      <c r="H29" s="250"/>
      <c r="I29" s="250"/>
      <c r="J29" s="250"/>
      <c r="K29" s="250"/>
      <c r="L29" s="246"/>
      <c r="M29" s="246"/>
      <c r="N29" s="69"/>
      <c r="O29" s="69"/>
      <c r="P29" s="61"/>
      <c r="Q29" s="61" t="b">
        <f t="shared" si="1"/>
        <v>1</v>
      </c>
      <c r="R29" s="104">
        <f>H23</f>
        <v>558</v>
      </c>
      <c r="S29" s="61" t="s">
        <v>41</v>
      </c>
      <c r="T29" s="271">
        <f>F23-R29</f>
        <v>0.20000000000004547</v>
      </c>
      <c r="U29" s="272"/>
      <c r="V29" s="273">
        <f>F23/R29</f>
        <v>1.0003584229390683</v>
      </c>
      <c r="W29" s="274"/>
      <c r="X29" s="90"/>
    </row>
    <row r="30" spans="1:27" ht="18" customHeight="1">
      <c r="A30" s="65"/>
      <c r="B30" s="299"/>
      <c r="C30" s="85"/>
      <c r="D30" s="61"/>
      <c r="E30" s="61"/>
      <c r="F30" s="86"/>
      <c r="G30" s="86"/>
      <c r="H30" s="87"/>
      <c r="I30" s="87"/>
      <c r="J30" s="87"/>
      <c r="K30" s="87"/>
      <c r="L30" s="88"/>
      <c r="M30" s="88"/>
      <c r="N30" s="69"/>
      <c r="O30" s="69"/>
      <c r="P30" s="61"/>
      <c r="Q30" s="61"/>
      <c r="R30" s="61"/>
      <c r="S30" s="61"/>
      <c r="T30" s="61"/>
      <c r="U30" s="61"/>
      <c r="V30" s="61"/>
      <c r="W30" s="89"/>
      <c r="X30" s="90"/>
      <c r="Y30" s="90"/>
    </row>
    <row r="31" spans="1:27" ht="18" customHeight="1">
      <c r="A31" s="65"/>
      <c r="B31" s="299"/>
      <c r="C31" s="61"/>
      <c r="D31" s="251"/>
      <c r="E31" s="251"/>
      <c r="F31" s="251"/>
      <c r="G31" s="251"/>
      <c r="H31" s="251"/>
      <c r="I31" s="251"/>
      <c r="J31" s="251"/>
      <c r="K31" s="251"/>
      <c r="L31" s="61"/>
      <c r="M31" s="225"/>
      <c r="N31" s="69"/>
      <c r="O31" s="69"/>
      <c r="P31" s="61"/>
      <c r="Q31" s="61"/>
      <c r="R31" s="61"/>
      <c r="S31" s="61"/>
      <c r="T31" s="61"/>
      <c r="U31" s="61"/>
      <c r="V31" s="61"/>
      <c r="W31" s="225"/>
      <c r="X31" s="226"/>
      <c r="Y31" s="226"/>
    </row>
    <row r="32" spans="1:27" ht="18" customHeight="1">
      <c r="A32" s="65"/>
      <c r="B32" s="299"/>
      <c r="C32" s="61"/>
      <c r="D32" s="266"/>
      <c r="E32" s="266"/>
      <c r="F32" s="269"/>
      <c r="G32" s="269"/>
      <c r="H32" s="269"/>
      <c r="I32" s="269"/>
      <c r="J32" s="270"/>
      <c r="K32" s="270"/>
      <c r="L32" s="248"/>
      <c r="M32" s="248"/>
      <c r="N32" s="69"/>
      <c r="O32" s="69"/>
      <c r="P32" s="61"/>
      <c r="Q32" s="61"/>
      <c r="R32" s="61"/>
      <c r="S32" s="61"/>
      <c r="T32" s="251"/>
      <c r="U32" s="251"/>
      <c r="V32" s="251"/>
      <c r="W32" s="251"/>
      <c r="X32" s="226"/>
      <c r="Y32" s="226"/>
    </row>
    <row r="33" spans="1:25" ht="18" customHeight="1">
      <c r="A33" s="65"/>
      <c r="B33" s="299"/>
      <c r="C33" s="61"/>
      <c r="D33" s="251"/>
      <c r="E33" s="251"/>
      <c r="F33" s="245"/>
      <c r="G33" s="245"/>
      <c r="H33" s="250"/>
      <c r="I33" s="250"/>
      <c r="J33" s="250"/>
      <c r="K33" s="250"/>
      <c r="L33" s="246"/>
      <c r="M33" s="246"/>
      <c r="N33" s="69"/>
      <c r="O33" s="69"/>
      <c r="P33" s="61"/>
      <c r="Q33" s="61"/>
      <c r="R33" s="61"/>
      <c r="S33" s="61"/>
      <c r="T33" s="245"/>
      <c r="U33" s="245"/>
      <c r="V33" s="246"/>
      <c r="W33" s="246"/>
      <c r="X33" s="226"/>
      <c r="Y33" s="226"/>
    </row>
    <row r="34" spans="1:25" ht="18" customHeight="1">
      <c r="A34" s="65"/>
      <c r="B34" s="299"/>
      <c r="C34" s="91"/>
      <c r="D34" s="224"/>
      <c r="E34" s="224"/>
      <c r="F34" s="245"/>
      <c r="G34" s="245"/>
      <c r="H34" s="250"/>
      <c r="I34" s="250"/>
      <c r="J34" s="250"/>
      <c r="K34" s="250"/>
      <c r="L34" s="246"/>
      <c r="M34" s="246"/>
      <c r="N34" s="69"/>
      <c r="O34" s="69"/>
      <c r="P34" s="61"/>
      <c r="Q34" s="61"/>
      <c r="R34" s="61"/>
      <c r="S34" s="61"/>
      <c r="T34" s="245"/>
      <c r="U34" s="245"/>
      <c r="V34" s="246"/>
      <c r="W34" s="246"/>
      <c r="X34" s="226"/>
      <c r="Y34" s="226"/>
    </row>
    <row r="35" spans="1:25" ht="18" customHeight="1">
      <c r="A35" s="65"/>
      <c r="B35" s="299"/>
      <c r="C35" s="61"/>
      <c r="D35" s="251"/>
      <c r="E35" s="251"/>
      <c r="F35" s="245"/>
      <c r="G35" s="245"/>
      <c r="H35" s="250"/>
      <c r="I35" s="250"/>
      <c r="J35" s="250"/>
      <c r="K35" s="250"/>
      <c r="L35" s="246"/>
      <c r="M35" s="246"/>
      <c r="N35" s="69"/>
      <c r="O35" s="69"/>
      <c r="P35" s="61"/>
      <c r="Q35" s="61"/>
      <c r="R35" s="61"/>
      <c r="S35" s="61"/>
      <c r="T35" s="245"/>
      <c r="U35" s="245"/>
      <c r="V35" s="246"/>
      <c r="W35" s="246"/>
      <c r="X35" s="226"/>
      <c r="Y35" s="226"/>
    </row>
    <row r="36" spans="1:25" ht="18" customHeight="1">
      <c r="A36" s="65"/>
      <c r="B36" s="299"/>
      <c r="C36" s="61"/>
      <c r="D36" s="265"/>
      <c r="E36" s="265"/>
      <c r="F36" s="86"/>
      <c r="G36" s="86"/>
      <c r="H36" s="87"/>
      <c r="I36" s="87"/>
      <c r="J36" s="87"/>
      <c r="K36" s="87"/>
      <c r="L36" s="261"/>
      <c r="M36" s="261"/>
      <c r="N36" s="69"/>
      <c r="O36" s="69"/>
      <c r="P36" s="61"/>
      <c r="Q36" s="61"/>
      <c r="R36" s="61"/>
      <c r="S36" s="61"/>
      <c r="T36" s="61"/>
      <c r="U36" s="61"/>
      <c r="V36" s="61"/>
      <c r="W36" s="89"/>
      <c r="X36" s="90"/>
      <c r="Y36" s="90"/>
    </row>
    <row r="37" spans="1:25" ht="18" customHeight="1">
      <c r="A37" s="65"/>
      <c r="B37" s="299"/>
      <c r="C37" s="61"/>
      <c r="D37" s="266"/>
      <c r="E37" s="266"/>
      <c r="F37" s="267"/>
      <c r="G37" s="267"/>
      <c r="H37" s="268"/>
      <c r="I37" s="268"/>
      <c r="J37" s="245"/>
      <c r="K37" s="245"/>
      <c r="L37" s="261"/>
      <c r="M37" s="261"/>
      <c r="N37" s="69"/>
      <c r="O37" s="69"/>
      <c r="P37" s="61"/>
      <c r="Q37" s="61"/>
      <c r="R37" s="61"/>
      <c r="S37" s="61"/>
      <c r="T37" s="61"/>
      <c r="U37" s="61"/>
      <c r="V37" s="61"/>
      <c r="W37" s="89"/>
      <c r="X37" s="90"/>
      <c r="Y37" s="90"/>
    </row>
    <row r="38" spans="1:25" ht="18" customHeight="1">
      <c r="A38" s="65"/>
      <c r="B38" s="299"/>
      <c r="C38" s="61"/>
      <c r="D38" s="251"/>
      <c r="E38" s="251"/>
      <c r="F38" s="245"/>
      <c r="G38" s="245"/>
      <c r="H38" s="250"/>
      <c r="I38" s="250"/>
      <c r="J38" s="245"/>
      <c r="K38" s="245"/>
      <c r="L38" s="261"/>
      <c r="M38" s="261"/>
      <c r="N38" s="69"/>
      <c r="O38" s="69"/>
      <c r="P38" s="61"/>
      <c r="Q38" s="61"/>
      <c r="R38" s="61"/>
      <c r="S38" s="61"/>
      <c r="T38" s="61"/>
      <c r="U38" s="61"/>
      <c r="V38" s="61"/>
      <c r="W38" s="89"/>
      <c r="X38" s="90"/>
      <c r="Y38" s="90"/>
    </row>
    <row r="39" spans="1:25" ht="18" customHeight="1">
      <c r="A39" s="65"/>
      <c r="B39" s="300"/>
      <c r="C39" s="61"/>
      <c r="D39" s="180"/>
      <c r="E39" s="180"/>
      <c r="F39" s="97"/>
      <c r="G39" s="97"/>
      <c r="H39" s="98"/>
      <c r="I39" s="98"/>
      <c r="J39" s="98"/>
      <c r="K39" s="98"/>
      <c r="L39" s="96"/>
      <c r="M39" s="96"/>
      <c r="N39" s="69"/>
      <c r="O39" s="69"/>
      <c r="P39" s="61"/>
      <c r="Q39" s="61"/>
      <c r="R39" s="61"/>
      <c r="S39" s="61"/>
      <c r="T39" s="61"/>
      <c r="U39" s="61"/>
      <c r="V39" s="61"/>
    </row>
    <row r="40" spans="1:25">
      <c r="A40" s="65"/>
      <c r="B40" s="99"/>
      <c r="C40" s="63"/>
      <c r="D40" s="262"/>
      <c r="E40" s="262"/>
      <c r="F40" s="263"/>
      <c r="G40" s="263"/>
      <c r="H40" s="264"/>
      <c r="I40" s="264"/>
      <c r="J40" s="184"/>
      <c r="K40" s="184"/>
      <c r="L40" s="100"/>
      <c r="M40" s="100"/>
      <c r="N40" s="63"/>
      <c r="O40" s="69"/>
      <c r="P40" s="61"/>
      <c r="Q40" s="61"/>
      <c r="R40" s="61"/>
      <c r="S40" s="61"/>
      <c r="T40" s="61"/>
      <c r="U40" s="61"/>
      <c r="V40" s="61"/>
    </row>
    <row r="41" spans="1:25" ht="18" customHeight="1">
      <c r="A41" s="65"/>
      <c r="B41" s="256" t="s">
        <v>303</v>
      </c>
      <c r="C41" s="62"/>
      <c r="D41" s="63" t="s">
        <v>338</v>
      </c>
      <c r="E41" s="101"/>
      <c r="F41" s="183"/>
      <c r="G41" s="183"/>
      <c r="H41" s="184"/>
      <c r="I41" s="184"/>
      <c r="J41" s="184"/>
      <c r="K41" s="184"/>
      <c r="L41" s="100"/>
      <c r="M41" s="100"/>
      <c r="N41" s="64"/>
      <c r="O41" s="69"/>
      <c r="P41" s="61"/>
      <c r="Q41" s="61"/>
      <c r="R41" s="61"/>
      <c r="S41" s="61"/>
      <c r="T41" s="61"/>
      <c r="U41" s="61"/>
      <c r="V41" s="61"/>
    </row>
    <row r="42" spans="1:25" ht="18" customHeight="1">
      <c r="A42" s="65"/>
      <c r="B42" s="257"/>
      <c r="C42" s="65"/>
      <c r="D42" s="186"/>
      <c r="E42" s="102"/>
      <c r="F42" s="103"/>
      <c r="G42" s="181"/>
      <c r="H42" s="104"/>
      <c r="I42" s="104"/>
      <c r="J42" s="104"/>
      <c r="K42" s="104"/>
      <c r="L42" s="182"/>
      <c r="M42" s="182"/>
      <c r="N42" s="105"/>
      <c r="O42" s="69"/>
      <c r="P42" s="61"/>
      <c r="Q42" s="61"/>
      <c r="R42" s="61"/>
      <c r="S42" s="61"/>
      <c r="T42" s="61"/>
      <c r="U42" s="61"/>
      <c r="V42" s="61"/>
      <c r="X42" s="106"/>
      <c r="Y42" s="106"/>
    </row>
    <row r="43" spans="1:25" ht="18" customHeight="1">
      <c r="A43" s="65"/>
      <c r="B43" s="257"/>
      <c r="C43" s="107"/>
      <c r="D43" s="108"/>
      <c r="G43" s="109"/>
      <c r="H43" s="110"/>
      <c r="I43" s="110"/>
      <c r="J43" s="110"/>
      <c r="K43" s="110"/>
      <c r="L43" s="111"/>
      <c r="M43" s="182"/>
      <c r="N43" s="105"/>
      <c r="O43" s="69"/>
      <c r="P43" s="61"/>
      <c r="Q43" s="61"/>
      <c r="R43" s="61"/>
      <c r="S43" s="61"/>
      <c r="T43" s="61"/>
      <c r="U43" s="61"/>
      <c r="V43" s="61"/>
      <c r="X43" s="106"/>
      <c r="Y43" s="106"/>
    </row>
    <row r="44" spans="1:25" ht="18" customHeight="1">
      <c r="A44" s="65"/>
      <c r="B44" s="257"/>
      <c r="C44" s="112"/>
      <c r="D44" s="113"/>
      <c r="E44" s="114"/>
      <c r="F44" s="115"/>
      <c r="G44" s="109"/>
      <c r="H44" s="110"/>
      <c r="I44" s="110"/>
      <c r="J44" s="110"/>
      <c r="K44" s="110"/>
      <c r="L44" s="111"/>
      <c r="M44" s="182"/>
      <c r="N44" s="105"/>
      <c r="O44" s="69"/>
      <c r="P44" s="61"/>
      <c r="Q44" s="61"/>
      <c r="R44" s="61"/>
      <c r="S44" s="108"/>
      <c r="U44" s="61"/>
      <c r="V44" s="61"/>
      <c r="X44" s="106"/>
      <c r="Y44" s="106"/>
    </row>
    <row r="45" spans="1:25" ht="18" customHeight="1">
      <c r="A45" s="65"/>
      <c r="B45" s="257"/>
      <c r="C45" s="107"/>
      <c r="D45" s="113"/>
      <c r="E45" s="61"/>
      <c r="F45" s="116"/>
      <c r="G45" s="116"/>
      <c r="H45" s="116"/>
      <c r="I45" s="116"/>
      <c r="J45" s="116"/>
      <c r="K45" s="116"/>
      <c r="L45" s="116"/>
      <c r="M45" s="61"/>
      <c r="N45" s="69"/>
      <c r="O45" s="69"/>
      <c r="P45" s="61"/>
      <c r="Q45" s="61"/>
      <c r="R45" s="61"/>
      <c r="S45" s="113"/>
      <c r="T45" s="114"/>
      <c r="U45" s="61"/>
      <c r="V45" s="61"/>
    </row>
    <row r="46" spans="1:25" ht="18" customHeight="1">
      <c r="A46" s="65"/>
      <c r="B46" s="257"/>
      <c r="C46" s="65"/>
      <c r="D46" s="116"/>
      <c r="E46" s="116"/>
      <c r="F46" s="117"/>
      <c r="G46" s="116"/>
      <c r="H46" s="116"/>
      <c r="I46" s="116"/>
      <c r="J46" s="116"/>
      <c r="K46" s="116"/>
      <c r="L46" s="116"/>
      <c r="M46" s="61"/>
      <c r="N46" s="69"/>
      <c r="O46" s="69"/>
      <c r="P46" s="61"/>
      <c r="Q46" s="61"/>
      <c r="R46" s="61"/>
      <c r="S46" s="113"/>
      <c r="T46" s="61"/>
      <c r="U46" s="61"/>
      <c r="V46" s="61"/>
    </row>
    <row r="47" spans="1:25" ht="18" customHeight="1">
      <c r="A47" s="65"/>
      <c r="B47" s="257"/>
      <c r="C47" s="65"/>
      <c r="D47" s="116"/>
      <c r="E47" s="118"/>
      <c r="F47" s="116"/>
      <c r="G47" s="116"/>
      <c r="H47" s="116"/>
      <c r="I47" s="116"/>
      <c r="J47" s="116"/>
      <c r="K47" s="116"/>
      <c r="L47" s="116"/>
      <c r="M47" s="61"/>
      <c r="N47" s="119"/>
      <c r="O47" s="69"/>
      <c r="P47" s="61"/>
      <c r="Q47" s="61"/>
      <c r="R47" s="61"/>
      <c r="S47" s="61"/>
      <c r="T47" s="61"/>
      <c r="U47" s="61"/>
      <c r="V47" s="61"/>
    </row>
    <row r="48" spans="1:25" ht="18" customHeight="1">
      <c r="A48" s="65"/>
      <c r="B48" s="257"/>
      <c r="C48" s="65"/>
      <c r="D48" s="116"/>
      <c r="E48" s="118"/>
      <c r="F48" s="116"/>
      <c r="G48" s="116"/>
      <c r="H48" s="116"/>
      <c r="I48" s="116"/>
      <c r="J48" s="116"/>
      <c r="K48" s="116"/>
      <c r="L48" s="116"/>
      <c r="M48" s="61"/>
      <c r="N48" s="119"/>
      <c r="O48" s="69"/>
      <c r="P48" s="61"/>
      <c r="Q48" s="61"/>
      <c r="R48" s="61"/>
      <c r="S48" s="61"/>
      <c r="T48" s="61"/>
      <c r="U48" s="61"/>
      <c r="V48" s="61"/>
    </row>
    <row r="49" spans="1:23" ht="18" customHeight="1">
      <c r="A49" s="65"/>
      <c r="B49" s="258"/>
      <c r="C49" s="120"/>
      <c r="D49" s="121"/>
      <c r="E49" s="122"/>
      <c r="F49" s="121"/>
      <c r="G49" s="121"/>
      <c r="H49" s="121"/>
      <c r="I49" s="121"/>
      <c r="J49" s="121"/>
      <c r="K49" s="121"/>
      <c r="L49" s="121"/>
      <c r="M49" s="60"/>
      <c r="N49" s="123"/>
      <c r="O49" s="69"/>
      <c r="P49" s="61"/>
      <c r="Q49" s="61"/>
      <c r="R49" s="61"/>
      <c r="S49" s="61"/>
      <c r="T49" s="61"/>
      <c r="U49" s="61"/>
      <c r="V49" s="61"/>
    </row>
    <row r="50" spans="1:23">
      <c r="A50" s="65"/>
      <c r="B50" s="124"/>
      <c r="C50" s="60"/>
      <c r="D50" s="125"/>
      <c r="E50" s="60"/>
      <c r="F50" s="60"/>
      <c r="G50" s="61"/>
      <c r="H50" s="61"/>
      <c r="I50" s="61"/>
      <c r="J50" s="61"/>
      <c r="K50" s="61"/>
      <c r="L50" s="61"/>
      <c r="M50" s="61"/>
      <c r="N50" s="61"/>
      <c r="O50" s="69"/>
      <c r="P50" s="61"/>
      <c r="Q50" s="61"/>
      <c r="R50" s="61"/>
      <c r="S50" s="61"/>
      <c r="T50" s="61"/>
      <c r="U50" s="61"/>
      <c r="V50" s="61"/>
    </row>
    <row r="51" spans="1:23" ht="20.100000000000001" customHeight="1">
      <c r="A51" s="65"/>
      <c r="B51" s="259" t="s">
        <v>42</v>
      </c>
      <c r="C51" s="79"/>
      <c r="D51" s="80"/>
      <c r="E51" s="80"/>
      <c r="F51" s="154"/>
      <c r="G51" s="155"/>
      <c r="H51" s="61"/>
      <c r="I51" s="61"/>
      <c r="J51" s="61"/>
      <c r="K51" s="61"/>
      <c r="L51" s="61"/>
      <c r="M51" s="61"/>
      <c r="N51" s="61"/>
      <c r="O51" s="69"/>
      <c r="P51" s="61"/>
      <c r="Q51" s="61"/>
      <c r="R51" s="61"/>
      <c r="S51" s="61"/>
      <c r="T51" s="61"/>
      <c r="U51" s="61"/>
      <c r="V51" s="61"/>
    </row>
    <row r="52" spans="1:23" ht="20.100000000000001" customHeight="1">
      <c r="A52" s="65"/>
      <c r="B52" s="259"/>
      <c r="C52" s="155"/>
      <c r="D52" s="82"/>
      <c r="E52" s="82"/>
      <c r="F52" s="156"/>
      <c r="G52" s="155"/>
      <c r="H52" s="61"/>
      <c r="I52" s="61"/>
      <c r="J52" s="61"/>
      <c r="K52" s="61"/>
      <c r="L52" s="61"/>
      <c r="M52" s="61"/>
      <c r="N52" s="61"/>
      <c r="O52" s="69"/>
      <c r="P52" s="61"/>
      <c r="Q52" s="61"/>
      <c r="R52" s="61"/>
      <c r="S52" s="61"/>
      <c r="T52" s="61"/>
      <c r="U52" s="61"/>
      <c r="V52" s="61"/>
    </row>
    <row r="53" spans="1:23" ht="20.100000000000001" customHeight="1">
      <c r="A53" s="65"/>
      <c r="B53" s="260"/>
      <c r="C53" s="157"/>
      <c r="D53" s="158"/>
      <c r="E53" s="158"/>
      <c r="F53" s="159"/>
      <c r="G53" s="155"/>
      <c r="H53" s="61"/>
      <c r="I53" s="61"/>
      <c r="J53" s="61"/>
      <c r="K53" s="61"/>
      <c r="L53" s="61"/>
      <c r="M53" s="61"/>
      <c r="N53" s="61"/>
      <c r="O53" s="69"/>
      <c r="P53" s="61"/>
      <c r="Q53" s="61"/>
      <c r="R53" s="61"/>
      <c r="S53" s="61"/>
      <c r="T53" s="61"/>
      <c r="U53" s="61"/>
      <c r="V53" s="61"/>
    </row>
    <row r="54" spans="1:23" ht="20.100000000000001" customHeight="1">
      <c r="A54" s="65"/>
      <c r="B54" s="126"/>
      <c r="C54" s="61"/>
      <c r="D54" s="185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9"/>
      <c r="P54" s="61"/>
      <c r="Q54" s="61"/>
      <c r="R54" s="61"/>
      <c r="S54" s="61"/>
      <c r="T54" s="61"/>
      <c r="U54" s="61"/>
      <c r="V54" s="61"/>
    </row>
    <row r="55" spans="1:23" ht="20.100000000000001" customHeight="1">
      <c r="A55" s="65"/>
      <c r="B55" s="126"/>
      <c r="C55" s="61"/>
      <c r="D55" s="185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9"/>
      <c r="P55" s="61"/>
      <c r="Q55" s="61"/>
      <c r="R55" s="61"/>
      <c r="S55" s="61"/>
      <c r="T55" s="61"/>
      <c r="U55" s="61"/>
      <c r="V55" s="61"/>
    </row>
    <row r="56" spans="1:23">
      <c r="A56" s="65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9"/>
      <c r="P56" s="61"/>
      <c r="Q56" s="61"/>
      <c r="R56" s="61"/>
      <c r="S56" s="61"/>
      <c r="T56" s="61"/>
      <c r="U56" s="61"/>
      <c r="V56" s="61"/>
    </row>
    <row r="57" spans="1:23">
      <c r="A57" s="65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9"/>
      <c r="P57" s="61"/>
      <c r="Q57" s="61"/>
      <c r="R57" s="61"/>
      <c r="S57" s="61"/>
      <c r="T57" s="61"/>
      <c r="U57" s="61"/>
      <c r="V57" s="61"/>
    </row>
    <row r="58" spans="1:23">
      <c r="A58" s="65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9"/>
      <c r="P58" s="61"/>
      <c r="Q58" s="61"/>
      <c r="R58" s="61"/>
      <c r="S58" s="61"/>
      <c r="T58" s="61"/>
      <c r="U58" s="61"/>
      <c r="V58" s="61"/>
    </row>
    <row r="59" spans="1:23" ht="24.75" customHeight="1">
      <c r="A59" s="65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9"/>
      <c r="P59" s="61"/>
      <c r="Q59" s="61"/>
      <c r="R59" s="61"/>
      <c r="S59" s="61"/>
      <c r="T59" s="61"/>
      <c r="U59" s="61"/>
      <c r="V59" s="61"/>
    </row>
    <row r="60" spans="1:23" ht="5.25" customHeight="1">
      <c r="A60" s="65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9"/>
      <c r="P60" s="61"/>
      <c r="Q60" s="61"/>
      <c r="R60" s="61"/>
      <c r="S60" s="61"/>
      <c r="T60" s="61"/>
      <c r="U60" s="61"/>
      <c r="V60" s="61"/>
    </row>
    <row r="61" spans="1:23">
      <c r="A61" s="12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73"/>
      <c r="P61" s="61"/>
      <c r="Q61" s="61"/>
      <c r="R61" s="61"/>
      <c r="S61" s="61"/>
      <c r="T61" s="61"/>
      <c r="U61" s="61"/>
      <c r="V61" s="61"/>
      <c r="W61" s="61"/>
    </row>
    <row r="62" spans="1:23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</row>
    <row r="63" spans="1:2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</row>
    <row r="64" spans="1:23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</row>
    <row r="65" spans="1:23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</row>
  </sheetData>
  <mergeCells count="114">
    <mergeCell ref="V16:X16"/>
    <mergeCell ref="V15:X15"/>
    <mergeCell ref="B5:B7"/>
    <mergeCell ref="J5:L5"/>
    <mergeCell ref="J6:N6"/>
    <mergeCell ref="B9:B10"/>
    <mergeCell ref="B12:B14"/>
    <mergeCell ref="C14:L14"/>
    <mergeCell ref="S14:AA14"/>
    <mergeCell ref="B16:B39"/>
    <mergeCell ref="D20:E20"/>
    <mergeCell ref="F20:G20"/>
    <mergeCell ref="H20:I20"/>
    <mergeCell ref="T20:U20"/>
    <mergeCell ref="V20:W20"/>
    <mergeCell ref="D21:E21"/>
    <mergeCell ref="F21:G21"/>
    <mergeCell ref="H21:I21"/>
    <mergeCell ref="T21:U21"/>
    <mergeCell ref="V21:W21"/>
    <mergeCell ref="D22:E22"/>
    <mergeCell ref="F22:G22"/>
    <mergeCell ref="H22:I22"/>
    <mergeCell ref="T22:U22"/>
    <mergeCell ref="D25:E25"/>
    <mergeCell ref="F25:G25"/>
    <mergeCell ref="D23:E23"/>
    <mergeCell ref="F23:G23"/>
    <mergeCell ref="H23:I23"/>
    <mergeCell ref="T23:U23"/>
    <mergeCell ref="V23:W23"/>
    <mergeCell ref="D27:E27"/>
    <mergeCell ref="F27:G27"/>
    <mergeCell ref="H27:I27"/>
    <mergeCell ref="J27:K27"/>
    <mergeCell ref="L27:M27"/>
    <mergeCell ref="T27:U27"/>
    <mergeCell ref="V27:W27"/>
    <mergeCell ref="D26:E26"/>
    <mergeCell ref="F26:G26"/>
    <mergeCell ref="H26:I26"/>
    <mergeCell ref="J26:K26"/>
    <mergeCell ref="L26:M26"/>
    <mergeCell ref="T26:U26"/>
    <mergeCell ref="D29:E29"/>
    <mergeCell ref="F29:G29"/>
    <mergeCell ref="H29:I29"/>
    <mergeCell ref="T29:U29"/>
    <mergeCell ref="V29:W29"/>
    <mergeCell ref="D28:E28"/>
    <mergeCell ref="F28:G28"/>
    <mergeCell ref="H28:I28"/>
    <mergeCell ref="J28:K28"/>
    <mergeCell ref="L28:M28"/>
    <mergeCell ref="T28:U28"/>
    <mergeCell ref="J29:K29"/>
    <mergeCell ref="L29:M29"/>
    <mergeCell ref="D31:E31"/>
    <mergeCell ref="F31:G31"/>
    <mergeCell ref="H31:I31"/>
    <mergeCell ref="J31:K31"/>
    <mergeCell ref="D32:E32"/>
    <mergeCell ref="F32:G32"/>
    <mergeCell ref="H32:I32"/>
    <mergeCell ref="J32:K32"/>
    <mergeCell ref="L32:M32"/>
    <mergeCell ref="D36:E36"/>
    <mergeCell ref="L36:M36"/>
    <mergeCell ref="D37:E37"/>
    <mergeCell ref="F37:G37"/>
    <mergeCell ref="H37:I37"/>
    <mergeCell ref="J37:K37"/>
    <mergeCell ref="L37:M37"/>
    <mergeCell ref="D33:E33"/>
    <mergeCell ref="F33:G33"/>
    <mergeCell ref="H33:I33"/>
    <mergeCell ref="J33:K33"/>
    <mergeCell ref="L33:M33"/>
    <mergeCell ref="D35:E35"/>
    <mergeCell ref="F35:G35"/>
    <mergeCell ref="H35:I35"/>
    <mergeCell ref="J35:K35"/>
    <mergeCell ref="L35:M35"/>
    <mergeCell ref="B41:B49"/>
    <mergeCell ref="B51:B53"/>
    <mergeCell ref="D38:E38"/>
    <mergeCell ref="F38:G38"/>
    <mergeCell ref="H38:I38"/>
    <mergeCell ref="J38:K38"/>
    <mergeCell ref="L38:M38"/>
    <mergeCell ref="D40:E40"/>
    <mergeCell ref="F40:G40"/>
    <mergeCell ref="H40:I40"/>
    <mergeCell ref="T35:U35"/>
    <mergeCell ref="V35:W35"/>
    <mergeCell ref="J20:K20"/>
    <mergeCell ref="J21:K21"/>
    <mergeCell ref="J22:K22"/>
    <mergeCell ref="J23:K23"/>
    <mergeCell ref="L34:M34"/>
    <mergeCell ref="F34:G34"/>
    <mergeCell ref="H34:I34"/>
    <mergeCell ref="J34:K34"/>
    <mergeCell ref="T33:U33"/>
    <mergeCell ref="V33:W33"/>
    <mergeCell ref="T34:U34"/>
    <mergeCell ref="V34:W34"/>
    <mergeCell ref="T32:U32"/>
    <mergeCell ref="V32:W32"/>
    <mergeCell ref="V28:W28"/>
    <mergeCell ref="V26:W26"/>
    <mergeCell ref="V22:W22"/>
    <mergeCell ref="H25:I25"/>
    <mergeCell ref="J25:K25"/>
  </mergeCells>
  <phoneticPr fontId="1"/>
  <conditionalFormatting sqref="R27:W27">
    <cfRule type="expression" dxfId="5" priority="6">
      <formula>$Q$27=TRUE</formula>
    </cfRule>
  </conditionalFormatting>
  <conditionalFormatting sqref="R28:W28">
    <cfRule type="expression" dxfId="4" priority="5">
      <formula>$Q$28=TRUE</formula>
    </cfRule>
  </conditionalFormatting>
  <conditionalFormatting sqref="R21:W21">
    <cfRule type="expression" dxfId="3" priority="4">
      <formula>$Q$21=TRUE</formula>
    </cfRule>
  </conditionalFormatting>
  <conditionalFormatting sqref="R22:W22">
    <cfRule type="expression" dxfId="2" priority="3">
      <formula>$Q$22=TRUE</formula>
    </cfRule>
  </conditionalFormatting>
  <conditionalFormatting sqref="Q21:Q23 Q27:Q29">
    <cfRule type="cellIs" dxfId="1" priority="1" operator="equal">
      <formula>TRUE</formula>
    </cfRule>
    <cfRule type="cellIs" dxfId="0" priority="2" operator="equal">
      <formula>FALSE</formula>
    </cfRule>
  </conditionalFormatting>
  <pageMargins left="0.55118110236220474" right="0.19685039370078741" top="0.39370078740157483" bottom="0.54" header="0.35433070866141736" footer="0.32"/>
  <pageSetup paperSize="9" scale="79" fitToWidth="2" fitToHeight="2" orientation="portrait" horizontalDpi="4294967294" r:id="rId1"/>
  <headerFooter alignWithMargins="0">
    <oddFooter>&amp;C&amp;"Century,標準"Sharp Corporation</oddFooter>
  </headerFooter>
  <colBreaks count="1" manualBreakCount="1">
    <brk id="15" max="60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5:K187"/>
  <sheetViews>
    <sheetView view="pageBreakPreview" zoomScaleNormal="85" zoomScaleSheetLayoutView="100" workbookViewId="0">
      <pane xSplit="4" ySplit="15" topLeftCell="E16" activePane="bottomRight" state="frozen"/>
      <selection pane="topRight" activeCell="D1" sqref="D1"/>
      <selection pane="bottomLeft" activeCell="A15" sqref="A15"/>
      <selection pane="bottomRight" activeCell="F163" sqref="F163"/>
    </sheetView>
  </sheetViews>
  <sheetFormatPr defaultColWidth="8.875" defaultRowHeight="15" customHeight="1"/>
  <cols>
    <col min="1" max="1" width="2.875" style="1" customWidth="1"/>
    <col min="2" max="2" width="2.75" style="1" customWidth="1"/>
    <col min="3" max="3" width="6.75" style="1" customWidth="1"/>
    <col min="4" max="4" width="38" style="1" bestFit="1" customWidth="1"/>
    <col min="5" max="5" width="10.75" style="1" customWidth="1"/>
    <col min="6" max="6" width="19.875" style="1" bestFit="1" customWidth="1"/>
    <col min="7" max="7" width="13.875" style="1" bestFit="1" customWidth="1"/>
    <col min="8" max="8" width="13.625" style="1" bestFit="1" customWidth="1"/>
    <col min="9" max="9" width="10.75" style="1" customWidth="1"/>
    <col min="10" max="10" width="2.25" style="162" customWidth="1"/>
    <col min="11" max="11" width="14" style="1" bestFit="1" customWidth="1"/>
    <col min="12" max="12" width="2.75" style="1" customWidth="1"/>
    <col min="13" max="16384" width="8.875" style="1"/>
  </cols>
  <sheetData>
    <row r="5" spans="3:11" ht="15" customHeight="1">
      <c r="E5" s="9"/>
      <c r="F5" s="9"/>
      <c r="G5" s="9"/>
      <c r="H5" s="9"/>
      <c r="I5" s="9"/>
      <c r="J5" s="4"/>
    </row>
    <row r="6" spans="3:11" ht="15" customHeight="1">
      <c r="C6" s="9"/>
      <c r="D6" s="9"/>
      <c r="E6" s="9"/>
      <c r="F6" s="9"/>
      <c r="G6" s="9"/>
      <c r="H6" s="9"/>
      <c r="I6" s="9"/>
    </row>
    <row r="7" spans="3:11" ht="15" customHeight="1">
      <c r="C7" s="9"/>
      <c r="D7" s="8" t="s">
        <v>273</v>
      </c>
      <c r="G7" s="9"/>
      <c r="H7" s="9"/>
      <c r="I7" s="9"/>
      <c r="J7" s="163"/>
      <c r="K7" s="161" t="s">
        <v>52</v>
      </c>
    </row>
    <row r="8" spans="3:11" ht="15" customHeight="1">
      <c r="C8" s="9"/>
      <c r="D8" s="9"/>
      <c r="G8" s="27"/>
      <c r="H8" s="10"/>
      <c r="I8" s="206"/>
      <c r="J8" s="163"/>
      <c r="K8" s="160" t="s">
        <v>53</v>
      </c>
    </row>
    <row r="9" spans="3:11" ht="15" customHeight="1">
      <c r="C9" s="9"/>
      <c r="E9" s="58"/>
      <c r="F9" s="175"/>
      <c r="G9" s="10"/>
      <c r="H9" s="314" t="s">
        <v>16</v>
      </c>
      <c r="I9" s="315"/>
      <c r="J9" s="164"/>
      <c r="K9" s="50">
        <f>K79</f>
        <v>181.8</v>
      </c>
    </row>
    <row r="10" spans="3:11" ht="15" customHeight="1">
      <c r="C10" s="9"/>
      <c r="E10" s="58"/>
      <c r="F10" s="175"/>
      <c r="G10" s="10"/>
      <c r="H10" s="314" t="s">
        <v>15</v>
      </c>
      <c r="I10" s="315"/>
      <c r="J10" s="164"/>
      <c r="K10" s="52">
        <f>K183</f>
        <v>376.4</v>
      </c>
    </row>
    <row r="11" spans="3:11" ht="15" customHeight="1">
      <c r="C11" s="9"/>
      <c r="E11" s="58"/>
      <c r="F11" s="175"/>
      <c r="G11" s="10"/>
      <c r="H11" s="314" t="s">
        <v>6</v>
      </c>
      <c r="I11" s="315"/>
      <c r="J11" s="164"/>
      <c r="K11" s="52">
        <f>K9+K10</f>
        <v>558.20000000000005</v>
      </c>
    </row>
    <row r="12" spans="3:11" ht="15" customHeight="1">
      <c r="C12" s="9"/>
      <c r="D12" s="9"/>
      <c r="E12" s="9"/>
      <c r="F12" s="9"/>
      <c r="G12" s="9"/>
      <c r="H12" s="9"/>
      <c r="I12" s="9"/>
    </row>
    <row r="13" spans="3:11" ht="15" customHeight="1">
      <c r="C13" s="2"/>
      <c r="D13" s="2" t="s">
        <v>16</v>
      </c>
      <c r="E13" s="9"/>
      <c r="F13" s="9"/>
      <c r="G13" s="9"/>
      <c r="H13" s="9"/>
      <c r="I13" s="9"/>
      <c r="J13" s="4"/>
    </row>
    <row r="14" spans="3:11" ht="15" customHeight="1">
      <c r="C14" s="320" t="s">
        <v>0</v>
      </c>
      <c r="D14" s="320" t="s">
        <v>1</v>
      </c>
      <c r="E14" s="167" t="s">
        <v>54</v>
      </c>
      <c r="F14" s="321" t="s">
        <v>4</v>
      </c>
      <c r="G14" s="322"/>
      <c r="H14" s="323"/>
      <c r="I14" s="316" t="s">
        <v>18</v>
      </c>
      <c r="J14" s="165"/>
      <c r="K14" s="161" t="s">
        <v>52</v>
      </c>
    </row>
    <row r="15" spans="3:11" ht="15" customHeight="1">
      <c r="C15" s="317"/>
      <c r="D15" s="317"/>
      <c r="E15" s="203" t="s">
        <v>67</v>
      </c>
      <c r="F15" s="37" t="s">
        <v>7</v>
      </c>
      <c r="G15" s="37" t="s">
        <v>138</v>
      </c>
      <c r="H15" s="37" t="s">
        <v>3</v>
      </c>
      <c r="I15" s="317"/>
      <c r="J15" s="163"/>
      <c r="K15" s="160" t="s">
        <v>53</v>
      </c>
    </row>
    <row r="16" spans="3:11" ht="15" customHeight="1">
      <c r="C16" s="6" t="s">
        <v>8</v>
      </c>
      <c r="D16" s="14" t="s">
        <v>61</v>
      </c>
      <c r="E16" s="168">
        <v>1</v>
      </c>
      <c r="F16" s="208">
        <v>630.6</v>
      </c>
      <c r="G16" s="173">
        <v>405.5</v>
      </c>
      <c r="H16" s="208">
        <v>462.5</v>
      </c>
      <c r="I16" s="42">
        <f t="shared" ref="I16:I58" si="0">(E16*F16*G16*H16)/1000000</f>
        <v>118.26508875000002</v>
      </c>
      <c r="J16" s="26"/>
      <c r="K16" s="44">
        <f t="shared" ref="K16:K30" si="1">I16</f>
        <v>118.26508875000002</v>
      </c>
    </row>
    <row r="17" spans="1:11" ht="15" customHeight="1">
      <c r="C17" s="38" t="s">
        <v>9</v>
      </c>
      <c r="D17" s="24" t="s">
        <v>62</v>
      </c>
      <c r="E17" s="169">
        <v>1</v>
      </c>
      <c r="F17" s="209">
        <v>630.6</v>
      </c>
      <c r="G17" s="174">
        <v>231.8</v>
      </c>
      <c r="H17" s="209">
        <v>358.5</v>
      </c>
      <c r="I17" s="28">
        <f t="shared" si="0"/>
        <v>52.403049180000011</v>
      </c>
      <c r="J17" s="26"/>
      <c r="K17" s="45">
        <f t="shared" si="1"/>
        <v>52.403049180000011</v>
      </c>
    </row>
    <row r="18" spans="1:11" ht="15" customHeight="1">
      <c r="C18" s="38" t="s">
        <v>10</v>
      </c>
      <c r="D18" s="24" t="s">
        <v>63</v>
      </c>
      <c r="E18" s="169">
        <v>1</v>
      </c>
      <c r="F18" s="209">
        <v>630.6</v>
      </c>
      <c r="G18" s="174">
        <v>32.4</v>
      </c>
      <c r="H18" s="174">
        <v>47.1</v>
      </c>
      <c r="I18" s="28">
        <f t="shared" si="0"/>
        <v>0.96232082400000007</v>
      </c>
      <c r="J18" s="26"/>
      <c r="K18" s="45">
        <f t="shared" si="1"/>
        <v>0.96232082400000007</v>
      </c>
    </row>
    <row r="19" spans="1:11" ht="15" customHeight="1">
      <c r="C19" s="38" t="s">
        <v>22</v>
      </c>
      <c r="D19" s="24" t="s">
        <v>56</v>
      </c>
      <c r="E19" s="169">
        <v>1</v>
      </c>
      <c r="F19" s="209">
        <v>647.5</v>
      </c>
      <c r="G19" s="209">
        <v>604.9</v>
      </c>
      <c r="H19" s="209">
        <v>19</v>
      </c>
      <c r="I19" s="28">
        <f t="shared" si="0"/>
        <v>7.4417822500000002</v>
      </c>
      <c r="J19" s="26"/>
      <c r="K19" s="45">
        <f t="shared" si="1"/>
        <v>7.4417822500000002</v>
      </c>
    </row>
    <row r="20" spans="1:11" ht="15" customHeight="1">
      <c r="C20" s="38" t="s">
        <v>23</v>
      </c>
      <c r="D20" s="24" t="s">
        <v>135</v>
      </c>
      <c r="E20" s="169">
        <v>1</v>
      </c>
      <c r="F20" s="210">
        <v>664.1</v>
      </c>
      <c r="G20" s="209">
        <v>8.8000000000000007</v>
      </c>
      <c r="H20" s="209">
        <v>5</v>
      </c>
      <c r="I20" s="28">
        <f t="shared" si="0"/>
        <v>2.9220400000000004E-2</v>
      </c>
      <c r="J20" s="26"/>
      <c r="K20" s="45">
        <f t="shared" si="1"/>
        <v>2.9220400000000004E-2</v>
      </c>
    </row>
    <row r="21" spans="1:11" ht="15" customHeight="1">
      <c r="C21" s="38" t="s">
        <v>24</v>
      </c>
      <c r="D21" s="24" t="s">
        <v>57</v>
      </c>
      <c r="E21" s="169">
        <v>-3</v>
      </c>
      <c r="F21" s="209">
        <v>558.5</v>
      </c>
      <c r="G21" s="209">
        <v>164.7</v>
      </c>
      <c r="H21" s="209">
        <v>4</v>
      </c>
      <c r="I21" s="28">
        <f t="shared" si="0"/>
        <v>-1.1038193999999999</v>
      </c>
      <c r="J21" s="26"/>
      <c r="K21" s="45">
        <f t="shared" si="1"/>
        <v>-1.1038193999999999</v>
      </c>
    </row>
    <row r="22" spans="1:11" ht="15" customHeight="1">
      <c r="C22" s="38" t="s">
        <v>25</v>
      </c>
      <c r="D22" s="24" t="s">
        <v>58</v>
      </c>
      <c r="E22" s="169">
        <v>1</v>
      </c>
      <c r="F22" s="209">
        <v>630.6</v>
      </c>
      <c r="G22" s="209">
        <v>37.5</v>
      </c>
      <c r="H22" s="209">
        <v>299</v>
      </c>
      <c r="I22" s="28">
        <f t="shared" si="0"/>
        <v>7.0706024999999997</v>
      </c>
      <c r="J22" s="26"/>
      <c r="K22" s="45">
        <f t="shared" si="1"/>
        <v>7.0706024999999997</v>
      </c>
    </row>
    <row r="23" spans="1:11" ht="15" customHeight="1">
      <c r="C23" s="38" t="s">
        <v>147</v>
      </c>
      <c r="D23" s="24" t="s">
        <v>59</v>
      </c>
      <c r="E23" s="169">
        <v>2</v>
      </c>
      <c r="F23" s="209">
        <v>32.799999999999997</v>
      </c>
      <c r="G23" s="209">
        <v>37.5</v>
      </c>
      <c r="H23" s="209">
        <v>119</v>
      </c>
      <c r="I23" s="28">
        <f t="shared" si="0"/>
        <v>0.29274</v>
      </c>
      <c r="J23" s="26"/>
      <c r="K23" s="45">
        <f t="shared" si="1"/>
        <v>0.29274</v>
      </c>
    </row>
    <row r="24" spans="1:11" ht="15" customHeight="1">
      <c r="C24" s="38" t="s">
        <v>148</v>
      </c>
      <c r="D24" s="24" t="s">
        <v>60</v>
      </c>
      <c r="E24" s="169">
        <v>2</v>
      </c>
      <c r="F24" s="209">
        <v>32.799999999999997</v>
      </c>
      <c r="G24" s="209">
        <v>29.5</v>
      </c>
      <c r="H24" s="209">
        <v>26.4</v>
      </c>
      <c r="I24" s="28">
        <f t="shared" si="0"/>
        <v>5.1089279999999994E-2</v>
      </c>
      <c r="J24" s="26"/>
      <c r="K24" s="45">
        <f t="shared" si="1"/>
        <v>5.1089279999999994E-2</v>
      </c>
    </row>
    <row r="25" spans="1:11" ht="15" customHeight="1">
      <c r="C25" s="38" t="s">
        <v>149</v>
      </c>
      <c r="D25" s="24" t="s">
        <v>71</v>
      </c>
      <c r="E25" s="169">
        <v>2</v>
      </c>
      <c r="F25" s="209">
        <v>42</v>
      </c>
      <c r="G25" s="174">
        <v>439.1</v>
      </c>
      <c r="H25" s="209">
        <v>12</v>
      </c>
      <c r="I25" s="28">
        <f t="shared" si="0"/>
        <v>0.44261280000000003</v>
      </c>
      <c r="J25" s="26"/>
      <c r="K25" s="45">
        <f t="shared" si="1"/>
        <v>0.44261280000000003</v>
      </c>
    </row>
    <row r="26" spans="1:11" ht="15" customHeight="1">
      <c r="C26" s="38" t="s">
        <v>51</v>
      </c>
      <c r="D26" s="24" t="s">
        <v>64</v>
      </c>
      <c r="E26" s="169">
        <v>1</v>
      </c>
      <c r="F26" s="209">
        <v>190.4</v>
      </c>
      <c r="G26" s="209">
        <v>19</v>
      </c>
      <c r="H26" s="209">
        <v>32.1</v>
      </c>
      <c r="I26" s="28">
        <f t="shared" si="0"/>
        <v>0.11612496000000001</v>
      </c>
      <c r="J26" s="26"/>
      <c r="K26" s="45">
        <f t="shared" si="1"/>
        <v>0.11612496000000001</v>
      </c>
    </row>
    <row r="27" spans="1:11" ht="15" customHeight="1">
      <c r="C27" s="38" t="s">
        <v>26</v>
      </c>
      <c r="D27" s="24" t="s">
        <v>65</v>
      </c>
      <c r="E27" s="169">
        <v>-4</v>
      </c>
      <c r="F27" s="209">
        <v>8</v>
      </c>
      <c r="G27" s="209">
        <v>12</v>
      </c>
      <c r="H27" s="209">
        <v>468.6</v>
      </c>
      <c r="I27" s="28">
        <f t="shared" si="0"/>
        <v>-0.17994240000000003</v>
      </c>
      <c r="J27" s="26"/>
      <c r="K27" s="45">
        <f t="shared" si="1"/>
        <v>-0.17994240000000003</v>
      </c>
    </row>
    <row r="28" spans="1:11" ht="15" customHeight="1">
      <c r="C28" s="38" t="s">
        <v>27</v>
      </c>
      <c r="D28" s="24" t="s">
        <v>65</v>
      </c>
      <c r="E28" s="169">
        <v>-2</v>
      </c>
      <c r="F28" s="209">
        <v>10</v>
      </c>
      <c r="G28" s="209">
        <v>17.2</v>
      </c>
      <c r="H28" s="209">
        <v>336.3</v>
      </c>
      <c r="I28" s="28">
        <f t="shared" si="0"/>
        <v>-0.1156872</v>
      </c>
      <c r="J28" s="26"/>
      <c r="K28" s="45">
        <f t="shared" si="1"/>
        <v>-0.1156872</v>
      </c>
    </row>
    <row r="29" spans="1:11" ht="15" customHeight="1">
      <c r="A29" s="189"/>
      <c r="C29" s="38" t="s">
        <v>310</v>
      </c>
      <c r="D29" s="24" t="s">
        <v>66</v>
      </c>
      <c r="E29" s="169">
        <v>4</v>
      </c>
      <c r="F29" s="209">
        <v>6.5</v>
      </c>
      <c r="G29" s="209">
        <v>47</v>
      </c>
      <c r="H29" s="209">
        <v>425.6</v>
      </c>
      <c r="I29" s="28">
        <f>(E29*F29*G29*H29)/1000000</f>
        <v>0.52008319999999997</v>
      </c>
      <c r="J29" s="26"/>
      <c r="K29" s="45">
        <f t="shared" si="1"/>
        <v>0.52008319999999997</v>
      </c>
    </row>
    <row r="30" spans="1:11" ht="15" customHeight="1">
      <c r="A30" s="189"/>
      <c r="C30" s="38" t="s">
        <v>150</v>
      </c>
      <c r="D30" s="24" t="s">
        <v>66</v>
      </c>
      <c r="E30" s="169">
        <v>2</v>
      </c>
      <c r="F30" s="209">
        <v>6.2</v>
      </c>
      <c r="G30" s="209">
        <v>47</v>
      </c>
      <c r="H30" s="209">
        <v>344.7</v>
      </c>
      <c r="I30" s="28">
        <f>(E30*F30*G30*H30)/1000000</f>
        <v>0.20089116000000001</v>
      </c>
      <c r="J30" s="26"/>
      <c r="K30" s="45">
        <f t="shared" si="1"/>
        <v>0.20089116000000001</v>
      </c>
    </row>
    <row r="31" spans="1:11" ht="15" customHeight="1">
      <c r="C31" s="38" t="s">
        <v>28</v>
      </c>
      <c r="D31" s="24" t="s">
        <v>326</v>
      </c>
      <c r="E31" s="169"/>
      <c r="F31" s="209"/>
      <c r="G31" s="209"/>
      <c r="H31" s="209"/>
      <c r="I31" s="28"/>
      <c r="J31" s="26"/>
      <c r="K31" s="45"/>
    </row>
    <row r="32" spans="1:11" ht="15" customHeight="1">
      <c r="C32" s="38" t="s">
        <v>29</v>
      </c>
      <c r="D32" s="24" t="s">
        <v>326</v>
      </c>
      <c r="E32" s="169"/>
      <c r="F32" s="209"/>
      <c r="G32" s="209"/>
      <c r="H32" s="209"/>
      <c r="I32" s="28"/>
      <c r="J32" s="26"/>
      <c r="K32" s="45"/>
    </row>
    <row r="33" spans="1:11" ht="15" customHeight="1">
      <c r="C33" s="318" t="s">
        <v>151</v>
      </c>
      <c r="D33" s="318" t="s">
        <v>20</v>
      </c>
      <c r="E33" s="170">
        <v>1</v>
      </c>
      <c r="F33" s="210">
        <v>681.8</v>
      </c>
      <c r="G33" s="210">
        <v>646.4</v>
      </c>
      <c r="H33" s="210">
        <v>17</v>
      </c>
      <c r="I33" s="28">
        <f t="shared" si="0"/>
        <v>7.492163839999999</v>
      </c>
      <c r="J33" s="26"/>
      <c r="K33" s="45">
        <f t="shared" ref="K33:K51" si="2">I33</f>
        <v>7.492163839999999</v>
      </c>
    </row>
    <row r="34" spans="1:11" ht="15" customHeight="1">
      <c r="C34" s="319"/>
      <c r="D34" s="319"/>
      <c r="E34" s="170">
        <v>-1</v>
      </c>
      <c r="F34" s="210">
        <v>664.1</v>
      </c>
      <c r="G34" s="210">
        <v>622.79999999999995</v>
      </c>
      <c r="H34" s="210">
        <v>17</v>
      </c>
      <c r="I34" s="28">
        <f t="shared" si="0"/>
        <v>-7.03122516</v>
      </c>
      <c r="J34" s="26"/>
      <c r="K34" s="45">
        <f t="shared" si="2"/>
        <v>-7.03122516</v>
      </c>
    </row>
    <row r="35" spans="1:11" ht="15" customHeight="1">
      <c r="C35" s="201" t="s">
        <v>152</v>
      </c>
      <c r="D35" s="46" t="s">
        <v>134</v>
      </c>
      <c r="E35" s="170">
        <v>2</v>
      </c>
      <c r="F35" s="210">
        <v>17.5</v>
      </c>
      <c r="G35" s="210">
        <v>646.4</v>
      </c>
      <c r="H35" s="210">
        <v>5.9</v>
      </c>
      <c r="I35" s="28">
        <f t="shared" si="0"/>
        <v>0.13348160000000001</v>
      </c>
      <c r="J35" s="26"/>
      <c r="K35" s="45">
        <f t="shared" si="2"/>
        <v>0.13348160000000001</v>
      </c>
    </row>
    <row r="36" spans="1:11" ht="15" customHeight="1">
      <c r="C36" s="201" t="s">
        <v>153</v>
      </c>
      <c r="D36" s="46" t="s">
        <v>69</v>
      </c>
      <c r="E36" s="170">
        <v>-1</v>
      </c>
      <c r="F36" s="210">
        <v>333.6</v>
      </c>
      <c r="G36" s="210">
        <v>44.3</v>
      </c>
      <c r="H36" s="210">
        <v>63.5</v>
      </c>
      <c r="I36" s="28">
        <f t="shared" si="0"/>
        <v>-0.93843347999999993</v>
      </c>
      <c r="J36" s="26"/>
      <c r="K36" s="45">
        <f t="shared" si="2"/>
        <v>-0.93843347999999993</v>
      </c>
    </row>
    <row r="37" spans="1:11" ht="15" customHeight="1">
      <c r="C37" s="201" t="s">
        <v>154</v>
      </c>
      <c r="D37" s="46" t="s">
        <v>329</v>
      </c>
      <c r="E37" s="170">
        <v>1</v>
      </c>
      <c r="F37" s="210">
        <v>333.6</v>
      </c>
      <c r="G37" s="210">
        <v>15.6</v>
      </c>
      <c r="H37" s="210">
        <v>63.5</v>
      </c>
      <c r="I37" s="28">
        <f t="shared" si="0"/>
        <v>0.33046415999999995</v>
      </c>
      <c r="J37" s="26"/>
      <c r="K37" s="45">
        <f t="shared" si="2"/>
        <v>0.33046415999999995</v>
      </c>
    </row>
    <row r="38" spans="1:11" ht="15" customHeight="1">
      <c r="C38" s="201" t="s">
        <v>155</v>
      </c>
      <c r="D38" s="46" t="s">
        <v>330</v>
      </c>
      <c r="E38" s="170">
        <v>1</v>
      </c>
      <c r="F38" s="210">
        <v>333.6</v>
      </c>
      <c r="G38" s="210">
        <v>5</v>
      </c>
      <c r="H38" s="210">
        <v>25.5</v>
      </c>
      <c r="I38" s="28">
        <f t="shared" si="0"/>
        <v>4.2534000000000002E-2</v>
      </c>
      <c r="J38" s="26"/>
      <c r="K38" s="45">
        <f t="shared" si="2"/>
        <v>4.2534000000000002E-2</v>
      </c>
    </row>
    <row r="39" spans="1:11" ht="15" customHeight="1">
      <c r="A39" s="189"/>
      <c r="C39" s="201" t="s">
        <v>156</v>
      </c>
      <c r="D39" s="46" t="s">
        <v>70</v>
      </c>
      <c r="E39" s="170">
        <v>-1</v>
      </c>
      <c r="F39" s="210">
        <v>333.6</v>
      </c>
      <c r="G39" s="210">
        <v>102.7</v>
      </c>
      <c r="H39" s="210">
        <v>41.5</v>
      </c>
      <c r="I39" s="28">
        <f t="shared" si="0"/>
        <v>-1.4218198800000001</v>
      </c>
      <c r="J39" s="26"/>
      <c r="K39" s="45">
        <f t="shared" si="2"/>
        <v>-1.4218198800000001</v>
      </c>
    </row>
    <row r="40" spans="1:11" ht="15" customHeight="1">
      <c r="C40" s="201" t="s">
        <v>157</v>
      </c>
      <c r="D40" s="46" t="s">
        <v>331</v>
      </c>
      <c r="E40" s="170">
        <v>1</v>
      </c>
      <c r="F40" s="210">
        <v>333.6</v>
      </c>
      <c r="G40" s="210">
        <v>29.7</v>
      </c>
      <c r="H40" s="210">
        <v>23</v>
      </c>
      <c r="I40" s="28">
        <f t="shared" si="0"/>
        <v>0.22788216</v>
      </c>
      <c r="J40" s="26"/>
      <c r="K40" s="45">
        <f t="shared" si="2"/>
        <v>0.22788216</v>
      </c>
    </row>
    <row r="41" spans="1:11" ht="15" customHeight="1">
      <c r="A41" s="189"/>
      <c r="C41" s="201" t="s">
        <v>158</v>
      </c>
      <c r="D41" s="46" t="s">
        <v>72</v>
      </c>
      <c r="E41" s="170">
        <v>-1</v>
      </c>
      <c r="F41" s="210">
        <v>345.1</v>
      </c>
      <c r="G41" s="210">
        <v>61.1</v>
      </c>
      <c r="H41" s="210">
        <v>41.5</v>
      </c>
      <c r="I41" s="28">
        <f t="shared" si="0"/>
        <v>-0.87505281500000009</v>
      </c>
      <c r="J41" s="26"/>
      <c r="K41" s="45">
        <f t="shared" si="2"/>
        <v>-0.87505281500000009</v>
      </c>
    </row>
    <row r="42" spans="1:11" ht="15" customHeight="1">
      <c r="C42" s="201" t="s">
        <v>159</v>
      </c>
      <c r="D42" s="46" t="s">
        <v>73</v>
      </c>
      <c r="E42" s="170">
        <v>-1</v>
      </c>
      <c r="F42" s="210">
        <v>345.1</v>
      </c>
      <c r="G42" s="210">
        <v>8.1999999999999993</v>
      </c>
      <c r="H42" s="210">
        <v>4.2</v>
      </c>
      <c r="I42" s="28">
        <f t="shared" si="0"/>
        <v>-1.1885244000000001E-2</v>
      </c>
      <c r="J42" s="26"/>
      <c r="K42" s="45">
        <f t="shared" si="2"/>
        <v>-1.1885244000000001E-2</v>
      </c>
    </row>
    <row r="43" spans="1:11" ht="15" customHeight="1">
      <c r="C43" s="201" t="s">
        <v>160</v>
      </c>
      <c r="D43" s="46" t="s">
        <v>74</v>
      </c>
      <c r="E43" s="170">
        <v>-1</v>
      </c>
      <c r="F43" s="210">
        <v>345.1</v>
      </c>
      <c r="G43" s="210">
        <v>12.7</v>
      </c>
      <c r="H43" s="210">
        <v>11</v>
      </c>
      <c r="I43" s="28">
        <f t="shared" si="0"/>
        <v>-4.8210469999999998E-2</v>
      </c>
      <c r="J43" s="26"/>
      <c r="K43" s="45">
        <f t="shared" si="2"/>
        <v>-4.8210469999999998E-2</v>
      </c>
    </row>
    <row r="44" spans="1:11" ht="15" customHeight="1">
      <c r="C44" s="201" t="s">
        <v>161</v>
      </c>
      <c r="D44" s="46" t="s">
        <v>75</v>
      </c>
      <c r="E44" s="170">
        <v>-1</v>
      </c>
      <c r="F44" s="210">
        <v>345.1</v>
      </c>
      <c r="G44" s="210">
        <v>19.2</v>
      </c>
      <c r="H44" s="210">
        <v>22</v>
      </c>
      <c r="I44" s="28">
        <f t="shared" si="0"/>
        <v>-0.14577024</v>
      </c>
      <c r="J44" s="26"/>
      <c r="K44" s="45">
        <f t="shared" si="2"/>
        <v>-0.14577024</v>
      </c>
    </row>
    <row r="45" spans="1:11" ht="15" customHeight="1">
      <c r="A45" s="189"/>
      <c r="C45" s="201" t="s">
        <v>162</v>
      </c>
      <c r="D45" s="46" t="s">
        <v>76</v>
      </c>
      <c r="E45" s="170">
        <v>-1</v>
      </c>
      <c r="F45" s="210">
        <v>345.1</v>
      </c>
      <c r="G45" s="210">
        <v>152.5</v>
      </c>
      <c r="H45" s="210">
        <v>8</v>
      </c>
      <c r="I45" s="28">
        <f t="shared" si="0"/>
        <v>-0.42102200000000001</v>
      </c>
      <c r="J45" s="26"/>
      <c r="K45" s="45">
        <f t="shared" si="2"/>
        <v>-0.42102200000000001</v>
      </c>
    </row>
    <row r="46" spans="1:11" ht="15" customHeight="1">
      <c r="C46" s="201" t="s">
        <v>163</v>
      </c>
      <c r="D46" s="46" t="s">
        <v>77</v>
      </c>
      <c r="E46" s="170">
        <v>-1</v>
      </c>
      <c r="F46" s="210">
        <v>345.1</v>
      </c>
      <c r="G46" s="210">
        <v>18</v>
      </c>
      <c r="H46" s="210">
        <v>8.3000000000000007</v>
      </c>
      <c r="I46" s="28">
        <f t="shared" si="0"/>
        <v>-5.1557940000000003E-2</v>
      </c>
      <c r="J46" s="26"/>
      <c r="K46" s="45">
        <f t="shared" si="2"/>
        <v>-5.1557940000000003E-2</v>
      </c>
    </row>
    <row r="47" spans="1:11" ht="15" customHeight="1">
      <c r="C47" s="201" t="s">
        <v>164</v>
      </c>
      <c r="D47" s="46" t="s">
        <v>78</v>
      </c>
      <c r="E47" s="170">
        <v>-1</v>
      </c>
      <c r="F47" s="210">
        <v>345.1</v>
      </c>
      <c r="G47" s="210">
        <v>11.2</v>
      </c>
      <c r="H47" s="210">
        <v>5.3</v>
      </c>
      <c r="I47" s="28">
        <f t="shared" si="0"/>
        <v>-2.0485135999999998E-2</v>
      </c>
      <c r="J47" s="26"/>
      <c r="K47" s="45">
        <f t="shared" si="2"/>
        <v>-2.0485135999999998E-2</v>
      </c>
    </row>
    <row r="48" spans="1:11" ht="15" customHeight="1">
      <c r="C48" s="201" t="s">
        <v>165</v>
      </c>
      <c r="D48" s="46" t="s">
        <v>79</v>
      </c>
      <c r="E48" s="170">
        <v>-1</v>
      </c>
      <c r="F48" s="210">
        <v>345.1</v>
      </c>
      <c r="G48" s="210">
        <v>19.7</v>
      </c>
      <c r="H48" s="210">
        <v>27</v>
      </c>
      <c r="I48" s="28">
        <f t="shared" si="0"/>
        <v>-0.18355869</v>
      </c>
      <c r="J48" s="26"/>
      <c r="K48" s="45">
        <f t="shared" si="2"/>
        <v>-0.18355869</v>
      </c>
    </row>
    <row r="49" spans="1:11" ht="15" customHeight="1">
      <c r="A49" s="189"/>
      <c r="C49" s="201" t="s">
        <v>166</v>
      </c>
      <c r="D49" s="46" t="s">
        <v>80</v>
      </c>
      <c r="E49" s="170">
        <v>-1</v>
      </c>
      <c r="F49" s="210">
        <v>345.1</v>
      </c>
      <c r="G49" s="176">
        <v>9.1999999999999993</v>
      </c>
      <c r="H49" s="210">
        <v>54</v>
      </c>
      <c r="I49" s="28">
        <f t="shared" si="0"/>
        <v>-0.17144567999999999</v>
      </c>
      <c r="J49" s="26"/>
      <c r="K49" s="45">
        <f t="shared" si="2"/>
        <v>-0.17144567999999999</v>
      </c>
    </row>
    <row r="50" spans="1:11" ht="15" customHeight="1">
      <c r="A50" s="189"/>
      <c r="C50" s="201" t="s">
        <v>167</v>
      </c>
      <c r="D50" s="46" t="s">
        <v>81</v>
      </c>
      <c r="E50" s="170">
        <v>-1</v>
      </c>
      <c r="F50" s="210">
        <v>540.4</v>
      </c>
      <c r="G50" s="176">
        <v>44.8</v>
      </c>
      <c r="H50" s="210">
        <v>34</v>
      </c>
      <c r="I50" s="28">
        <f t="shared" si="0"/>
        <v>-0.82313727999999986</v>
      </c>
      <c r="J50" s="26"/>
      <c r="K50" s="45">
        <f t="shared" si="2"/>
        <v>-0.82313727999999986</v>
      </c>
    </row>
    <row r="51" spans="1:11" ht="15" customHeight="1">
      <c r="A51" s="189"/>
      <c r="C51" s="201" t="s">
        <v>168</v>
      </c>
      <c r="D51" s="46" t="s">
        <v>82</v>
      </c>
      <c r="E51" s="170">
        <v>-1</v>
      </c>
      <c r="F51" s="210">
        <v>345.1</v>
      </c>
      <c r="G51" s="176">
        <v>8.9</v>
      </c>
      <c r="H51" s="210">
        <v>28</v>
      </c>
      <c r="I51" s="28">
        <f t="shared" si="0"/>
        <v>-8.5998920000000006E-2</v>
      </c>
      <c r="J51" s="26"/>
      <c r="K51" s="45">
        <f t="shared" si="2"/>
        <v>-8.5998920000000006E-2</v>
      </c>
    </row>
    <row r="52" spans="1:11" ht="15" customHeight="1">
      <c r="C52" s="201" t="s">
        <v>169</v>
      </c>
      <c r="D52" s="46" t="s">
        <v>327</v>
      </c>
      <c r="E52" s="170"/>
      <c r="F52" s="210"/>
      <c r="G52" s="210"/>
      <c r="H52" s="210"/>
      <c r="I52" s="28"/>
      <c r="J52" s="26"/>
      <c r="K52" s="45"/>
    </row>
    <row r="53" spans="1:11" ht="15" customHeight="1">
      <c r="C53" s="201" t="s">
        <v>170</v>
      </c>
      <c r="D53" s="46" t="s">
        <v>83</v>
      </c>
      <c r="E53" s="170">
        <v>-1</v>
      </c>
      <c r="F53" s="210">
        <v>540.4</v>
      </c>
      <c r="G53" s="210">
        <v>36.6</v>
      </c>
      <c r="H53" s="210">
        <v>28.3</v>
      </c>
      <c r="I53" s="28">
        <f t="shared" si="0"/>
        <v>-0.55973551199999994</v>
      </c>
      <c r="J53" s="26"/>
      <c r="K53" s="45">
        <f t="shared" ref="K53:K58" si="3">I53</f>
        <v>-0.55973551199999994</v>
      </c>
    </row>
    <row r="54" spans="1:11" ht="15" customHeight="1">
      <c r="C54" s="201" t="s">
        <v>171</v>
      </c>
      <c r="D54" s="46" t="s">
        <v>328</v>
      </c>
      <c r="E54" s="170"/>
      <c r="F54" s="210"/>
      <c r="G54" s="210"/>
      <c r="H54" s="210"/>
      <c r="I54" s="28"/>
      <c r="J54" s="26"/>
      <c r="K54" s="45"/>
    </row>
    <row r="55" spans="1:11" ht="15" customHeight="1">
      <c r="C55" s="201" t="s">
        <v>172</v>
      </c>
      <c r="D55" s="46" t="s">
        <v>332</v>
      </c>
      <c r="E55" s="170">
        <v>1</v>
      </c>
      <c r="F55" s="210">
        <v>11.2</v>
      </c>
      <c r="G55" s="211">
        <f>21.8+4.1</f>
        <v>25.9</v>
      </c>
      <c r="H55" s="210">
        <v>25.5</v>
      </c>
      <c r="I55" s="28">
        <f t="shared" si="0"/>
        <v>7.3970399999999997E-3</v>
      </c>
      <c r="J55" s="26"/>
      <c r="K55" s="45">
        <f t="shared" ref="K55:K57" si="4">I55</f>
        <v>7.3970399999999997E-3</v>
      </c>
    </row>
    <row r="56" spans="1:11" ht="15" customHeight="1">
      <c r="C56" s="201" t="s">
        <v>173</v>
      </c>
      <c r="D56" s="46" t="s">
        <v>333</v>
      </c>
      <c r="E56" s="170">
        <v>1</v>
      </c>
      <c r="F56" s="210">
        <v>22.8</v>
      </c>
      <c r="G56" s="210">
        <v>44.6</v>
      </c>
      <c r="H56" s="210">
        <v>38</v>
      </c>
      <c r="I56" s="28">
        <f t="shared" si="0"/>
        <v>3.8641439999999999E-2</v>
      </c>
      <c r="J56" s="26"/>
      <c r="K56" s="45">
        <f t="shared" si="4"/>
        <v>3.8641439999999999E-2</v>
      </c>
    </row>
    <row r="57" spans="1:11" ht="15" customHeight="1">
      <c r="C57" s="201" t="s">
        <v>174</v>
      </c>
      <c r="D57" s="46" t="s">
        <v>334</v>
      </c>
      <c r="E57" s="170">
        <v>-1</v>
      </c>
      <c r="F57" s="210">
        <v>7.8</v>
      </c>
      <c r="G57" s="210">
        <v>7.8</v>
      </c>
      <c r="H57" s="210">
        <v>38</v>
      </c>
      <c r="I57" s="28">
        <f t="shared" si="0"/>
        <v>-2.3119199999999999E-3</v>
      </c>
      <c r="J57" s="26"/>
      <c r="K57" s="45">
        <f t="shared" si="4"/>
        <v>-2.3119199999999999E-3</v>
      </c>
    </row>
    <row r="58" spans="1:11" ht="15" customHeight="1">
      <c r="C58" s="201" t="s">
        <v>175</v>
      </c>
      <c r="D58" s="46" t="s">
        <v>84</v>
      </c>
      <c r="E58" s="170">
        <v>-2</v>
      </c>
      <c r="F58" s="210">
        <v>14</v>
      </c>
      <c r="G58" s="210">
        <v>6.6</v>
      </c>
      <c r="H58" s="212">
        <f>54+88.2+103.5</f>
        <v>245.7</v>
      </c>
      <c r="I58" s="28">
        <f t="shared" si="0"/>
        <v>-4.5405359999999992E-2</v>
      </c>
      <c r="J58" s="26"/>
      <c r="K58" s="45">
        <f t="shared" si="3"/>
        <v>-4.5405359999999992E-2</v>
      </c>
    </row>
    <row r="59" spans="1:11" ht="15" customHeight="1">
      <c r="C59" s="201" t="s">
        <v>176</v>
      </c>
      <c r="D59" s="15" t="s">
        <v>321</v>
      </c>
      <c r="E59" s="170"/>
      <c r="F59" s="210"/>
      <c r="G59" s="210"/>
      <c r="H59" s="210"/>
      <c r="I59" s="28"/>
      <c r="J59" s="26"/>
      <c r="K59" s="45"/>
    </row>
    <row r="60" spans="1:11" ht="15" customHeight="1">
      <c r="C60" s="201" t="s">
        <v>177</v>
      </c>
      <c r="D60" s="15" t="s">
        <v>322</v>
      </c>
      <c r="E60" s="170"/>
      <c r="F60" s="210"/>
      <c r="G60" s="210"/>
      <c r="H60" s="210"/>
      <c r="I60" s="28"/>
      <c r="J60" s="26"/>
      <c r="K60" s="45"/>
    </row>
    <row r="61" spans="1:11" ht="15" customHeight="1">
      <c r="C61" s="201" t="s">
        <v>178</v>
      </c>
      <c r="D61" s="15" t="s">
        <v>322</v>
      </c>
      <c r="E61" s="170"/>
      <c r="F61" s="210"/>
      <c r="G61" s="210"/>
      <c r="H61" s="210"/>
      <c r="I61" s="28"/>
      <c r="J61" s="26"/>
      <c r="K61" s="45"/>
    </row>
    <row r="62" spans="1:11" ht="15" customHeight="1">
      <c r="C62" s="201" t="s">
        <v>179</v>
      </c>
      <c r="D62" s="15" t="s">
        <v>323</v>
      </c>
      <c r="E62" s="170"/>
      <c r="F62" s="210"/>
      <c r="G62" s="210"/>
      <c r="H62" s="210"/>
      <c r="I62" s="28"/>
      <c r="J62" s="26"/>
      <c r="K62" s="45"/>
    </row>
    <row r="63" spans="1:11" ht="15" customHeight="1">
      <c r="C63" s="201" t="s">
        <v>180</v>
      </c>
      <c r="D63" s="15" t="s">
        <v>322</v>
      </c>
      <c r="E63" s="170"/>
      <c r="F63" s="210"/>
      <c r="G63" s="210"/>
      <c r="H63" s="210"/>
      <c r="I63" s="28"/>
      <c r="J63" s="26"/>
      <c r="K63" s="45"/>
    </row>
    <row r="64" spans="1:11" ht="15" customHeight="1">
      <c r="C64" s="201" t="s">
        <v>181</v>
      </c>
      <c r="D64" s="15" t="s">
        <v>322</v>
      </c>
      <c r="E64" s="170"/>
      <c r="F64" s="210"/>
      <c r="G64" s="210"/>
      <c r="H64" s="210"/>
      <c r="I64" s="28"/>
      <c r="J64" s="26"/>
      <c r="K64" s="45"/>
    </row>
    <row r="65" spans="3:11" ht="15" customHeight="1">
      <c r="C65" s="201" t="s">
        <v>182</v>
      </c>
      <c r="D65" s="15" t="s">
        <v>322</v>
      </c>
      <c r="E65" s="170"/>
      <c r="F65" s="210"/>
      <c r="G65" s="210"/>
      <c r="H65" s="210"/>
      <c r="I65" s="28"/>
      <c r="J65" s="26"/>
      <c r="K65" s="45"/>
    </row>
    <row r="66" spans="3:11" ht="15" customHeight="1">
      <c r="C66" s="201" t="s">
        <v>183</v>
      </c>
      <c r="D66" s="15" t="s">
        <v>322</v>
      </c>
      <c r="E66" s="170"/>
      <c r="F66" s="210"/>
      <c r="G66" s="210"/>
      <c r="H66" s="210"/>
      <c r="I66" s="28"/>
      <c r="J66" s="26"/>
      <c r="K66" s="45"/>
    </row>
    <row r="67" spans="3:11" ht="15" customHeight="1">
      <c r="C67" s="201" t="s">
        <v>184</v>
      </c>
      <c r="D67" s="15" t="s">
        <v>323</v>
      </c>
      <c r="E67" s="170"/>
      <c r="F67" s="210"/>
      <c r="G67" s="210"/>
      <c r="H67" s="210"/>
      <c r="I67" s="28"/>
      <c r="J67" s="26"/>
      <c r="K67" s="45"/>
    </row>
    <row r="68" spans="3:11" ht="15" customHeight="1">
      <c r="C68" s="201" t="s">
        <v>185</v>
      </c>
      <c r="D68" s="15" t="s">
        <v>324</v>
      </c>
      <c r="E68" s="170"/>
      <c r="F68" s="210"/>
      <c r="G68" s="210"/>
      <c r="H68" s="210"/>
      <c r="I68" s="28"/>
      <c r="J68" s="26"/>
      <c r="K68" s="45"/>
    </row>
    <row r="69" spans="3:11" ht="15" customHeight="1">
      <c r="C69" s="201" t="s">
        <v>186</v>
      </c>
      <c r="D69" s="15" t="s">
        <v>324</v>
      </c>
      <c r="E69" s="169"/>
      <c r="F69" s="209"/>
      <c r="G69" s="209"/>
      <c r="H69" s="209"/>
      <c r="I69" s="28"/>
      <c r="J69" s="26"/>
      <c r="K69" s="39"/>
    </row>
    <row r="70" spans="3:11" ht="15" customHeight="1">
      <c r="C70" s="201" t="s">
        <v>187</v>
      </c>
      <c r="D70" s="15" t="s">
        <v>322</v>
      </c>
      <c r="E70" s="169"/>
      <c r="F70" s="209"/>
      <c r="G70" s="213"/>
      <c r="H70" s="209"/>
      <c r="I70" s="28"/>
      <c r="J70" s="26"/>
      <c r="K70" s="39"/>
    </row>
    <row r="71" spans="3:11" ht="15" customHeight="1">
      <c r="C71" s="201" t="s">
        <v>188</v>
      </c>
      <c r="D71" s="15" t="s">
        <v>325</v>
      </c>
      <c r="E71" s="169"/>
      <c r="F71" s="209"/>
      <c r="G71" s="209"/>
      <c r="H71" s="209"/>
      <c r="I71" s="28"/>
      <c r="J71" s="26"/>
      <c r="K71" s="39"/>
    </row>
    <row r="72" spans="3:11" ht="15" customHeight="1">
      <c r="C72" s="201" t="s">
        <v>189</v>
      </c>
      <c r="D72" s="15" t="s">
        <v>322</v>
      </c>
      <c r="E72" s="169"/>
      <c r="F72" s="209"/>
      <c r="G72" s="209"/>
      <c r="H72" s="209"/>
      <c r="I72" s="28"/>
      <c r="J72" s="26"/>
      <c r="K72" s="39"/>
    </row>
    <row r="73" spans="3:11" ht="15" customHeight="1">
      <c r="C73" s="201" t="s">
        <v>190</v>
      </c>
      <c r="D73" s="15" t="s">
        <v>322</v>
      </c>
      <c r="E73" s="169"/>
      <c r="F73" s="209"/>
      <c r="G73" s="209"/>
      <c r="H73" s="209"/>
      <c r="I73" s="28"/>
      <c r="J73" s="26"/>
      <c r="K73" s="39"/>
    </row>
    <row r="74" spans="3:11" ht="15" customHeight="1">
      <c r="C74" s="201" t="s">
        <v>191</v>
      </c>
      <c r="D74" s="15" t="s">
        <v>322</v>
      </c>
      <c r="E74" s="169"/>
      <c r="F74" s="209"/>
      <c r="G74" s="209"/>
      <c r="H74" s="209"/>
      <c r="I74" s="28"/>
      <c r="J74" s="26"/>
      <c r="K74" s="39"/>
    </row>
    <row r="75" spans="3:11" ht="15" customHeight="1">
      <c r="C75" s="201" t="s">
        <v>192</v>
      </c>
      <c r="D75" s="15" t="s">
        <v>322</v>
      </c>
      <c r="E75" s="169"/>
      <c r="F75" s="209"/>
      <c r="G75" s="209"/>
      <c r="H75" s="209"/>
      <c r="I75" s="28"/>
      <c r="J75" s="26"/>
      <c r="K75" s="39"/>
    </row>
    <row r="76" spans="3:11" ht="15" customHeight="1">
      <c r="C76" s="201" t="s">
        <v>193</v>
      </c>
      <c r="D76" s="15" t="s">
        <v>322</v>
      </c>
      <c r="E76" s="169"/>
      <c r="F76" s="209"/>
      <c r="G76" s="209"/>
      <c r="H76" s="209"/>
      <c r="I76" s="28"/>
      <c r="J76" s="26"/>
      <c r="K76" s="39"/>
    </row>
    <row r="77" spans="3:11" ht="15" customHeight="1">
      <c r="C77" s="201" t="s">
        <v>194</v>
      </c>
      <c r="D77" s="15" t="s">
        <v>322</v>
      </c>
      <c r="E77" s="169"/>
      <c r="F77" s="209"/>
      <c r="G77" s="209"/>
      <c r="H77" s="209"/>
      <c r="I77" s="28"/>
      <c r="J77" s="26"/>
      <c r="K77" s="39"/>
    </row>
    <row r="78" spans="3:11" ht="15" customHeight="1">
      <c r="C78" s="3" t="s">
        <v>353</v>
      </c>
      <c r="D78" s="18" t="s">
        <v>354</v>
      </c>
      <c r="E78" s="171"/>
      <c r="F78" s="19"/>
      <c r="G78" s="19"/>
      <c r="H78" s="19"/>
      <c r="I78" s="207"/>
      <c r="J78" s="26"/>
      <c r="K78" s="53"/>
    </row>
    <row r="79" spans="3:11" s="54" customFormat="1" ht="15" customHeight="1">
      <c r="C79" s="40"/>
      <c r="D79" s="40"/>
      <c r="E79" s="40"/>
      <c r="F79" s="41"/>
      <c r="G79" s="41"/>
      <c r="H79" s="41"/>
      <c r="I79" s="40"/>
      <c r="J79" s="166"/>
      <c r="K79" s="48">
        <f>ROUND(SUM(K16:K78),1)</f>
        <v>181.8</v>
      </c>
    </row>
    <row r="80" spans="3:11" ht="15" customHeight="1">
      <c r="C80" s="4"/>
      <c r="D80" s="4"/>
      <c r="E80" s="21"/>
      <c r="F80" s="22"/>
      <c r="G80" s="22"/>
      <c r="H80" s="22"/>
      <c r="I80" s="11"/>
      <c r="J80" s="11"/>
      <c r="K80" s="55"/>
    </row>
    <row r="81" spans="1:11" ht="15" customHeight="1">
      <c r="C81" s="4"/>
      <c r="D81" s="4"/>
      <c r="E81" s="21"/>
      <c r="F81" s="22"/>
      <c r="G81" s="22"/>
      <c r="H81" s="22"/>
      <c r="I81" s="11"/>
      <c r="J81" s="11"/>
      <c r="K81" s="55"/>
    </row>
    <row r="82" spans="1:11" ht="15" customHeight="1">
      <c r="C82" s="2"/>
      <c r="D82" s="2" t="s">
        <v>15</v>
      </c>
      <c r="E82" s="9"/>
      <c r="F82" s="9"/>
      <c r="G82" s="9"/>
      <c r="H82" s="9"/>
      <c r="I82" s="9"/>
      <c r="J82" s="4"/>
    </row>
    <row r="83" spans="1:11" ht="15" customHeight="1">
      <c r="C83" s="320" t="s">
        <v>0</v>
      </c>
      <c r="D83" s="321" t="s">
        <v>1</v>
      </c>
      <c r="E83" s="167" t="s">
        <v>55</v>
      </c>
      <c r="F83" s="327" t="s">
        <v>4</v>
      </c>
      <c r="G83" s="327"/>
      <c r="H83" s="328"/>
      <c r="I83" s="316" t="s">
        <v>18</v>
      </c>
      <c r="J83" s="165"/>
      <c r="K83" s="161" t="s">
        <v>52</v>
      </c>
    </row>
    <row r="84" spans="1:11" ht="15" customHeight="1">
      <c r="C84" s="317"/>
      <c r="D84" s="326"/>
      <c r="E84" s="12"/>
      <c r="F84" s="23" t="s">
        <v>7</v>
      </c>
      <c r="G84" s="13" t="s">
        <v>2</v>
      </c>
      <c r="H84" s="13" t="s">
        <v>3</v>
      </c>
      <c r="I84" s="317"/>
      <c r="J84" s="163"/>
      <c r="K84" s="160" t="s">
        <v>53</v>
      </c>
    </row>
    <row r="85" spans="1:11" ht="15" customHeight="1">
      <c r="C85" s="6" t="s">
        <v>12</v>
      </c>
      <c r="D85" s="14" t="s">
        <v>85</v>
      </c>
      <c r="E85" s="169">
        <v>1</v>
      </c>
      <c r="F85" s="208">
        <v>681.2</v>
      </c>
      <c r="G85" s="208">
        <v>943.2</v>
      </c>
      <c r="H85" s="208">
        <v>565.5</v>
      </c>
      <c r="I85" s="42">
        <f t="shared" ref="I85:I144" si="5">(E85*F85*G85*H85)/1000000</f>
        <v>363.33818352000003</v>
      </c>
      <c r="J85" s="26"/>
      <c r="K85" s="56">
        <f>I85</f>
        <v>363.33818352000003</v>
      </c>
    </row>
    <row r="86" spans="1:11" ht="15" customHeight="1">
      <c r="C86" s="7" t="s">
        <v>13</v>
      </c>
      <c r="D86" s="24" t="s">
        <v>86</v>
      </c>
      <c r="E86" s="169">
        <v>-2</v>
      </c>
      <c r="F86" s="209">
        <v>46.3</v>
      </c>
      <c r="G86" s="209">
        <v>895.4</v>
      </c>
      <c r="H86" s="209">
        <v>15.1</v>
      </c>
      <c r="I86" s="28">
        <f t="shared" si="5"/>
        <v>-1.2520020039999999</v>
      </c>
      <c r="J86" s="26"/>
      <c r="K86" s="45">
        <f t="shared" ref="K86:K163" si="6">I86</f>
        <v>-1.2520020039999999</v>
      </c>
    </row>
    <row r="87" spans="1:11" ht="15" customHeight="1">
      <c r="C87" s="7" t="s">
        <v>14</v>
      </c>
      <c r="D87" s="24" t="s">
        <v>87</v>
      </c>
      <c r="E87" s="169">
        <v>-1</v>
      </c>
      <c r="F87" s="209">
        <v>676.5</v>
      </c>
      <c r="G87" s="209">
        <v>22.8</v>
      </c>
      <c r="H87" s="209">
        <v>45.5</v>
      </c>
      <c r="I87" s="28">
        <f t="shared" si="5"/>
        <v>-0.70180109999999996</v>
      </c>
      <c r="J87" s="26"/>
      <c r="K87" s="45">
        <f t="shared" si="6"/>
        <v>-0.70180109999999996</v>
      </c>
    </row>
    <row r="88" spans="1:11" ht="15" customHeight="1">
      <c r="C88" s="7" t="s">
        <v>30</v>
      </c>
      <c r="D88" s="24" t="s">
        <v>88</v>
      </c>
      <c r="E88" s="169">
        <v>-2</v>
      </c>
      <c r="F88" s="209">
        <v>20.100000000000001</v>
      </c>
      <c r="G88" s="209">
        <v>10.1</v>
      </c>
      <c r="H88" s="209">
        <v>520</v>
      </c>
      <c r="I88" s="28">
        <f t="shared" si="5"/>
        <v>-0.21113040000000002</v>
      </c>
      <c r="J88" s="26"/>
      <c r="K88" s="45">
        <f t="shared" si="6"/>
        <v>-0.21113040000000002</v>
      </c>
    </row>
    <row r="89" spans="1:11" ht="15" customHeight="1">
      <c r="C89" s="7" t="s">
        <v>31</v>
      </c>
      <c r="D89" s="24" t="s">
        <v>89</v>
      </c>
      <c r="E89" s="169">
        <v>-1</v>
      </c>
      <c r="F89" s="209">
        <v>588</v>
      </c>
      <c r="G89" s="209">
        <v>0.5</v>
      </c>
      <c r="H89" s="209">
        <v>457.8</v>
      </c>
      <c r="I89" s="28">
        <f t="shared" si="5"/>
        <v>-0.13459320000000002</v>
      </c>
      <c r="J89" s="26"/>
      <c r="K89" s="45">
        <f t="shared" si="6"/>
        <v>-0.13459320000000002</v>
      </c>
    </row>
    <row r="90" spans="1:11" ht="13.5">
      <c r="C90" s="7" t="s">
        <v>32</v>
      </c>
      <c r="D90" s="24" t="s">
        <v>90</v>
      </c>
      <c r="E90" s="169">
        <v>-2</v>
      </c>
      <c r="F90" s="209">
        <v>0.5</v>
      </c>
      <c r="G90" s="238">
        <f>42+56+126+84</f>
        <v>308</v>
      </c>
      <c r="H90" s="209">
        <v>400.8</v>
      </c>
      <c r="I90" s="28">
        <f t="shared" si="5"/>
        <v>-0.12344640000000001</v>
      </c>
      <c r="J90" s="26"/>
      <c r="K90" s="45">
        <f t="shared" si="6"/>
        <v>-0.12344640000000001</v>
      </c>
    </row>
    <row r="91" spans="1:11" ht="15" customHeight="1">
      <c r="A91" s="189"/>
      <c r="C91" s="7" t="s">
        <v>33</v>
      </c>
      <c r="D91" s="24" t="s">
        <v>91</v>
      </c>
      <c r="E91" s="169">
        <v>-2</v>
      </c>
      <c r="F91" s="209">
        <v>3.4</v>
      </c>
      <c r="G91" s="209">
        <v>153</v>
      </c>
      <c r="H91" s="209">
        <v>494.9</v>
      </c>
      <c r="I91" s="28">
        <f t="shared" si="5"/>
        <v>-0.51489395999999987</v>
      </c>
      <c r="J91" s="26"/>
      <c r="K91" s="45">
        <f t="shared" si="6"/>
        <v>-0.51489395999999987</v>
      </c>
    </row>
    <row r="92" spans="1:11" ht="15" customHeight="1">
      <c r="C92" s="241" t="s">
        <v>355</v>
      </c>
      <c r="D92" s="24" t="s">
        <v>91</v>
      </c>
      <c r="E92" s="169">
        <v>-2</v>
      </c>
      <c r="F92" s="177">
        <v>3.4</v>
      </c>
      <c r="G92" s="177">
        <v>47</v>
      </c>
      <c r="H92" s="177">
        <v>28.9</v>
      </c>
      <c r="I92" s="28">
        <f t="shared" si="5"/>
        <v>-9.2364399999999985E-3</v>
      </c>
      <c r="J92" s="242"/>
      <c r="K92" s="36">
        <f>I92</f>
        <v>-9.2364399999999985E-3</v>
      </c>
    </row>
    <row r="93" spans="1:11" ht="15" customHeight="1">
      <c r="C93" s="241" t="s">
        <v>356</v>
      </c>
      <c r="D93" s="24" t="s">
        <v>91</v>
      </c>
      <c r="E93" s="169">
        <v>-2</v>
      </c>
      <c r="F93" s="177">
        <v>3.4</v>
      </c>
      <c r="G93" s="177">
        <v>36.1</v>
      </c>
      <c r="H93" s="177">
        <v>494.9</v>
      </c>
      <c r="I93" s="28">
        <f t="shared" si="5"/>
        <v>-0.121488052</v>
      </c>
      <c r="J93" s="242"/>
      <c r="K93" s="36">
        <f>I93</f>
        <v>-0.121488052</v>
      </c>
    </row>
    <row r="94" spans="1:11" ht="15" customHeight="1">
      <c r="C94" s="241" t="s">
        <v>357</v>
      </c>
      <c r="D94" s="24" t="s">
        <v>127</v>
      </c>
      <c r="E94" s="169">
        <v>2</v>
      </c>
      <c r="F94" s="177">
        <v>3.4</v>
      </c>
      <c r="G94" s="177">
        <v>11.6</v>
      </c>
      <c r="H94" s="177">
        <v>100</v>
      </c>
      <c r="I94" s="28">
        <f t="shared" si="5"/>
        <v>7.8879999999999992E-3</v>
      </c>
      <c r="J94" s="242"/>
      <c r="K94" s="36">
        <f t="shared" si="6"/>
        <v>7.8879999999999992E-3</v>
      </c>
    </row>
    <row r="95" spans="1:11" ht="15" customHeight="1">
      <c r="C95" s="241" t="s">
        <v>358</v>
      </c>
      <c r="D95" s="24" t="s">
        <v>91</v>
      </c>
      <c r="E95" s="169">
        <v>-2</v>
      </c>
      <c r="F95" s="177">
        <v>3.4</v>
      </c>
      <c r="G95" s="177">
        <v>47</v>
      </c>
      <c r="H95" s="177">
        <v>100.8</v>
      </c>
      <c r="I95" s="28">
        <f t="shared" ref="I95" si="7">(E95*F95*G95*H95)/1000000</f>
        <v>-3.2215679999999997E-2</v>
      </c>
      <c r="J95" s="242"/>
      <c r="K95" s="36">
        <f>I95</f>
        <v>-3.2215679999999997E-2</v>
      </c>
    </row>
    <row r="96" spans="1:11" ht="15" customHeight="1">
      <c r="C96" s="7" t="s">
        <v>34</v>
      </c>
      <c r="D96" s="24" t="s">
        <v>21</v>
      </c>
      <c r="E96" s="169">
        <v>1</v>
      </c>
      <c r="F96" s="209">
        <v>646.20000000000005</v>
      </c>
      <c r="G96" s="209">
        <v>142</v>
      </c>
      <c r="H96" s="209">
        <v>59</v>
      </c>
      <c r="I96" s="28">
        <f t="shared" si="5"/>
        <v>5.4138636000000009</v>
      </c>
      <c r="J96" s="26"/>
      <c r="K96" s="45">
        <f t="shared" si="6"/>
        <v>5.4138636000000009</v>
      </c>
    </row>
    <row r="97" spans="1:11" ht="15" customHeight="1">
      <c r="C97" s="7" t="s">
        <v>19</v>
      </c>
      <c r="D97" s="24" t="s">
        <v>96</v>
      </c>
      <c r="E97" s="169">
        <v>1</v>
      </c>
      <c r="F97" s="209">
        <v>646.20000000000005</v>
      </c>
      <c r="G97" s="209">
        <v>2.2999999999999998</v>
      </c>
      <c r="H97" s="209">
        <v>14</v>
      </c>
      <c r="I97" s="28">
        <f t="shared" si="5"/>
        <v>2.0807639999999999E-2</v>
      </c>
      <c r="J97" s="26"/>
      <c r="K97" s="45">
        <f t="shared" si="6"/>
        <v>2.0807639999999999E-2</v>
      </c>
    </row>
    <row r="98" spans="1:11" ht="15" customHeight="1">
      <c r="C98" s="7" t="s">
        <v>35</v>
      </c>
      <c r="D98" s="24" t="s">
        <v>38</v>
      </c>
      <c r="E98" s="169">
        <v>1</v>
      </c>
      <c r="F98" s="209">
        <v>646.20000000000005</v>
      </c>
      <c r="G98" s="209">
        <v>374</v>
      </c>
      <c r="H98" s="209">
        <v>59</v>
      </c>
      <c r="I98" s="28">
        <f t="shared" si="5"/>
        <v>14.259049200000002</v>
      </c>
      <c r="J98" s="26"/>
      <c r="K98" s="45">
        <f t="shared" si="6"/>
        <v>14.259049200000002</v>
      </c>
    </row>
    <row r="99" spans="1:11" ht="15" customHeight="1">
      <c r="C99" s="241" t="s">
        <v>195</v>
      </c>
      <c r="D99" s="24" t="s">
        <v>39</v>
      </c>
      <c r="E99" s="169">
        <v>1</v>
      </c>
      <c r="F99" s="209">
        <v>646.20000000000005</v>
      </c>
      <c r="G99" s="177">
        <v>355.8</v>
      </c>
      <c r="H99" s="209">
        <v>54</v>
      </c>
      <c r="I99" s="28">
        <f t="shared" si="5"/>
        <v>12.415569840000002</v>
      </c>
      <c r="J99" s="26"/>
      <c r="K99" s="45">
        <f t="shared" si="6"/>
        <v>12.415569840000002</v>
      </c>
    </row>
    <row r="100" spans="1:11" ht="15" customHeight="1">
      <c r="C100" s="7" t="s">
        <v>196</v>
      </c>
      <c r="D100" s="24" t="s">
        <v>97</v>
      </c>
      <c r="E100" s="169">
        <v>1</v>
      </c>
      <c r="F100" s="209">
        <v>646.20000000000005</v>
      </c>
      <c r="G100" s="209">
        <v>2.8</v>
      </c>
      <c r="H100" s="209">
        <v>13.7</v>
      </c>
      <c r="I100" s="28">
        <f t="shared" si="5"/>
        <v>2.4788231999999997E-2</v>
      </c>
      <c r="J100" s="26"/>
      <c r="K100" s="45">
        <f t="shared" si="6"/>
        <v>2.4788231999999997E-2</v>
      </c>
    </row>
    <row r="101" spans="1:11" ht="15" customHeight="1">
      <c r="A101" s="189"/>
      <c r="C101" s="241" t="s">
        <v>197</v>
      </c>
      <c r="D101" s="24" t="s">
        <v>92</v>
      </c>
      <c r="E101" s="169">
        <v>1</v>
      </c>
      <c r="F101" s="209">
        <v>561.1</v>
      </c>
      <c r="G101" s="177">
        <v>11.8</v>
      </c>
      <c r="H101" s="209">
        <v>8.5</v>
      </c>
      <c r="I101" s="28">
        <f t="shared" si="5"/>
        <v>5.6278330000000001E-2</v>
      </c>
      <c r="J101" s="26"/>
      <c r="K101" s="45">
        <f t="shared" si="6"/>
        <v>5.6278330000000001E-2</v>
      </c>
    </row>
    <row r="102" spans="1:11" ht="15" customHeight="1">
      <c r="C102" s="241" t="s">
        <v>198</v>
      </c>
      <c r="D102" s="24" t="s">
        <v>93</v>
      </c>
      <c r="E102" s="169">
        <v>-2</v>
      </c>
      <c r="F102" s="209">
        <v>9.6999999999999993</v>
      </c>
      <c r="G102" s="244">
        <f>610.1+72.2</f>
        <v>682.30000000000007</v>
      </c>
      <c r="H102" s="209">
        <v>4.9000000000000004</v>
      </c>
      <c r="I102" s="28">
        <f t="shared" si="5"/>
        <v>-6.4859438000000005E-2</v>
      </c>
      <c r="J102" s="26"/>
      <c r="K102" s="45">
        <f t="shared" si="6"/>
        <v>-6.4859438000000005E-2</v>
      </c>
    </row>
    <row r="103" spans="1:11" ht="15" customHeight="1">
      <c r="A103" s="189"/>
      <c r="C103" s="7" t="s">
        <v>199</v>
      </c>
      <c r="D103" s="24" t="s">
        <v>94</v>
      </c>
      <c r="E103" s="169">
        <v>-2</v>
      </c>
      <c r="F103" s="209">
        <v>644.79999999999995</v>
      </c>
      <c r="G103" s="209">
        <v>9.6999999999999993</v>
      </c>
      <c r="H103" s="209">
        <v>4.9000000000000004</v>
      </c>
      <c r="I103" s="28">
        <f t="shared" si="5"/>
        <v>-6.1294688E-2</v>
      </c>
      <c r="J103" s="26"/>
      <c r="K103" s="45">
        <f t="shared" si="6"/>
        <v>-6.1294688E-2</v>
      </c>
    </row>
    <row r="104" spans="1:11" ht="15" customHeight="1">
      <c r="A104" s="189"/>
      <c r="C104" s="7" t="s">
        <v>200</v>
      </c>
      <c r="D104" s="24" t="s">
        <v>95</v>
      </c>
      <c r="E104" s="169">
        <v>-2</v>
      </c>
      <c r="F104" s="209">
        <v>617.20000000000005</v>
      </c>
      <c r="G104" s="209">
        <v>9.6999999999999993</v>
      </c>
      <c r="H104" s="209">
        <v>4.9000000000000004</v>
      </c>
      <c r="I104" s="28">
        <f t="shared" si="5"/>
        <v>-5.8671032000000005E-2</v>
      </c>
      <c r="J104" s="26"/>
      <c r="K104" s="45">
        <f t="shared" si="6"/>
        <v>-5.8671032000000005E-2</v>
      </c>
    </row>
    <row r="105" spans="1:11" ht="15" customHeight="1">
      <c r="C105" s="7" t="s">
        <v>201</v>
      </c>
      <c r="D105" s="24" t="s">
        <v>98</v>
      </c>
      <c r="E105" s="169">
        <v>-2</v>
      </c>
      <c r="F105" s="209">
        <v>14</v>
      </c>
      <c r="G105" s="209">
        <v>68</v>
      </c>
      <c r="H105" s="209">
        <v>17</v>
      </c>
      <c r="I105" s="28">
        <f t="shared" si="5"/>
        <v>-3.2368000000000001E-2</v>
      </c>
      <c r="J105" s="26"/>
      <c r="K105" s="45">
        <f t="shared" si="6"/>
        <v>-3.2368000000000001E-2</v>
      </c>
    </row>
    <row r="106" spans="1:11" ht="15" customHeight="1">
      <c r="C106" s="7" t="s">
        <v>36</v>
      </c>
      <c r="D106" s="24" t="s">
        <v>99</v>
      </c>
      <c r="E106" s="169">
        <v>-2</v>
      </c>
      <c r="F106" s="209">
        <v>13.5</v>
      </c>
      <c r="G106" s="209">
        <v>114.4</v>
      </c>
      <c r="H106" s="209">
        <v>12</v>
      </c>
      <c r="I106" s="28">
        <f t="shared" si="5"/>
        <v>-3.7065600000000004E-2</v>
      </c>
      <c r="J106" s="26"/>
      <c r="K106" s="45">
        <f t="shared" si="6"/>
        <v>-3.7065600000000004E-2</v>
      </c>
    </row>
    <row r="107" spans="1:11" ht="15" customHeight="1">
      <c r="C107" s="7" t="s">
        <v>37</v>
      </c>
      <c r="D107" s="24" t="s">
        <v>100</v>
      </c>
      <c r="E107" s="169">
        <v>-10</v>
      </c>
      <c r="F107" s="209">
        <v>8.8000000000000007</v>
      </c>
      <c r="G107" s="209">
        <v>22</v>
      </c>
      <c r="H107" s="209">
        <v>15</v>
      </c>
      <c r="I107" s="28">
        <f t="shared" si="5"/>
        <v>-2.904E-2</v>
      </c>
      <c r="J107" s="26"/>
      <c r="K107" s="45">
        <f t="shared" si="6"/>
        <v>-2.904E-2</v>
      </c>
    </row>
    <row r="108" spans="1:11" ht="15" customHeight="1">
      <c r="C108" s="7" t="s">
        <v>202</v>
      </c>
      <c r="D108" s="24" t="s">
        <v>101</v>
      </c>
      <c r="E108" s="169">
        <v>-4</v>
      </c>
      <c r="F108" s="209">
        <v>8.8000000000000007</v>
      </c>
      <c r="G108" s="209">
        <v>22</v>
      </c>
      <c r="H108" s="209">
        <v>16.5</v>
      </c>
      <c r="I108" s="28">
        <f t="shared" si="5"/>
        <v>-1.2777600000000002E-2</v>
      </c>
      <c r="J108" s="26"/>
      <c r="K108" s="45">
        <f t="shared" si="6"/>
        <v>-1.2777600000000002E-2</v>
      </c>
    </row>
    <row r="109" spans="1:11" ht="15" customHeight="1">
      <c r="C109" s="7" t="s">
        <v>203</v>
      </c>
      <c r="D109" s="15" t="s">
        <v>102</v>
      </c>
      <c r="E109" s="169">
        <v>-1</v>
      </c>
      <c r="F109" s="209">
        <v>233.2</v>
      </c>
      <c r="G109" s="209">
        <v>586.6</v>
      </c>
      <c r="H109" s="209">
        <v>27.6</v>
      </c>
      <c r="I109" s="28">
        <f t="shared" si="5"/>
        <v>-3.7755453119999998</v>
      </c>
      <c r="J109" s="26"/>
      <c r="K109" s="45">
        <f t="shared" si="6"/>
        <v>-3.7755453119999998</v>
      </c>
    </row>
    <row r="110" spans="1:11" ht="15" customHeight="1">
      <c r="C110" s="7" t="s">
        <v>204</v>
      </c>
      <c r="D110" s="15" t="s">
        <v>103</v>
      </c>
      <c r="E110" s="169">
        <v>-2</v>
      </c>
      <c r="F110" s="209">
        <v>183.6</v>
      </c>
      <c r="G110" s="209">
        <v>586.6</v>
      </c>
      <c r="H110" s="209">
        <v>22.5</v>
      </c>
      <c r="I110" s="28">
        <f t="shared" si="5"/>
        <v>-4.8464892000000006</v>
      </c>
      <c r="J110" s="26"/>
      <c r="K110" s="45">
        <f t="shared" si="6"/>
        <v>-4.8464892000000006</v>
      </c>
    </row>
    <row r="111" spans="1:11" ht="15" customHeight="1">
      <c r="C111" s="7" t="s">
        <v>205</v>
      </c>
      <c r="D111" s="15" t="s">
        <v>104</v>
      </c>
      <c r="E111" s="169">
        <v>-2</v>
      </c>
      <c r="F111" s="174">
        <v>38.5</v>
      </c>
      <c r="G111" s="209">
        <v>575.4</v>
      </c>
      <c r="H111" s="209">
        <v>2.1</v>
      </c>
      <c r="I111" s="28">
        <f t="shared" si="5"/>
        <v>-9.3042179999999988E-2</v>
      </c>
      <c r="J111" s="26"/>
      <c r="K111" s="45">
        <f t="shared" si="6"/>
        <v>-9.3042179999999988E-2</v>
      </c>
    </row>
    <row r="112" spans="1:11" ht="15" customHeight="1">
      <c r="C112" s="7" t="s">
        <v>206</v>
      </c>
      <c r="D112" s="15" t="s">
        <v>106</v>
      </c>
      <c r="E112" s="169">
        <v>-1</v>
      </c>
      <c r="F112" s="209">
        <v>233.2</v>
      </c>
      <c r="G112" s="209">
        <v>11.5</v>
      </c>
      <c r="H112" s="214">
        <f>27.6+21.6</f>
        <v>49.2</v>
      </c>
      <c r="I112" s="28">
        <f t="shared" si="5"/>
        <v>-0.13194455999999999</v>
      </c>
      <c r="J112" s="26"/>
      <c r="K112" s="45">
        <f t="shared" si="6"/>
        <v>-0.13194455999999999</v>
      </c>
    </row>
    <row r="113" spans="3:11" ht="15" customHeight="1">
      <c r="C113" s="7" t="s">
        <v>207</v>
      </c>
      <c r="D113" s="15" t="s">
        <v>105</v>
      </c>
      <c r="E113" s="169">
        <v>-2</v>
      </c>
      <c r="F113" s="215">
        <f>183.6-30.3</f>
        <v>153.29999999999998</v>
      </c>
      <c r="G113" s="209">
        <v>11.5</v>
      </c>
      <c r="H113" s="216">
        <f>22.5+21.6</f>
        <v>44.1</v>
      </c>
      <c r="I113" s="28">
        <f t="shared" si="5"/>
        <v>-0.15549219</v>
      </c>
      <c r="J113" s="26"/>
      <c r="K113" s="45">
        <f t="shared" si="6"/>
        <v>-0.15549219</v>
      </c>
    </row>
    <row r="114" spans="3:11" ht="15" customHeight="1">
      <c r="C114" s="7" t="s">
        <v>208</v>
      </c>
      <c r="D114" s="15" t="s">
        <v>312</v>
      </c>
      <c r="E114" s="169">
        <v>-1</v>
      </c>
      <c r="F114" s="209">
        <v>233.2</v>
      </c>
      <c r="G114" s="209">
        <v>1.9</v>
      </c>
      <c r="H114" s="217">
        <f>35.8-27.6</f>
        <v>8.1999999999999957</v>
      </c>
      <c r="I114" s="28">
        <f t="shared" si="5"/>
        <v>-3.6332559999999979E-3</v>
      </c>
      <c r="J114" s="26"/>
      <c r="K114" s="45">
        <f t="shared" si="6"/>
        <v>-3.6332559999999979E-3</v>
      </c>
    </row>
    <row r="115" spans="3:11" ht="15" customHeight="1">
      <c r="C115" s="7" t="s">
        <v>209</v>
      </c>
      <c r="D115" s="15" t="s">
        <v>313</v>
      </c>
      <c r="E115" s="169">
        <v>-2</v>
      </c>
      <c r="F115" s="209">
        <f>183.6</f>
        <v>183.6</v>
      </c>
      <c r="G115" s="209">
        <v>1.9</v>
      </c>
      <c r="H115" s="218">
        <f>35.8-22.5</f>
        <v>13.299999999999997</v>
      </c>
      <c r="I115" s="28">
        <f t="shared" si="5"/>
        <v>-9.2791439999999961E-3</v>
      </c>
      <c r="J115" s="26"/>
      <c r="K115" s="45">
        <f t="shared" si="6"/>
        <v>-9.2791439999999961E-3</v>
      </c>
    </row>
    <row r="116" spans="3:11" ht="15" customHeight="1">
      <c r="C116" s="7" t="s">
        <v>210</v>
      </c>
      <c r="D116" s="24" t="s">
        <v>107</v>
      </c>
      <c r="E116" s="169">
        <v>-1</v>
      </c>
      <c r="F116" s="209">
        <v>453</v>
      </c>
      <c r="G116" s="209">
        <v>48.9</v>
      </c>
      <c r="H116" s="209">
        <v>18.899999999999999</v>
      </c>
      <c r="I116" s="28">
        <f t="shared" si="5"/>
        <v>-0.41866713</v>
      </c>
      <c r="J116" s="26"/>
      <c r="K116" s="45">
        <f t="shared" si="6"/>
        <v>-0.41866713</v>
      </c>
    </row>
    <row r="117" spans="3:11" ht="15" customHeight="1">
      <c r="C117" s="7" t="s">
        <v>211</v>
      </c>
      <c r="D117" s="24" t="s">
        <v>108</v>
      </c>
      <c r="E117" s="169">
        <v>-1</v>
      </c>
      <c r="F117" s="209">
        <v>453</v>
      </c>
      <c r="G117" s="209">
        <v>42.9</v>
      </c>
      <c r="H117" s="209">
        <v>19.7</v>
      </c>
      <c r="I117" s="28">
        <f t="shared" si="5"/>
        <v>-0.38284389000000002</v>
      </c>
      <c r="J117" s="26"/>
      <c r="K117" s="45">
        <f t="shared" si="6"/>
        <v>-0.38284389000000002</v>
      </c>
    </row>
    <row r="118" spans="3:11" ht="15" customHeight="1">
      <c r="C118" s="7" t="s">
        <v>212</v>
      </c>
      <c r="D118" s="24" t="s">
        <v>109</v>
      </c>
      <c r="E118" s="169">
        <v>-1</v>
      </c>
      <c r="F118" s="209">
        <v>315.8</v>
      </c>
      <c r="G118" s="209">
        <v>130.6</v>
      </c>
      <c r="H118" s="209">
        <v>18.899999999999999</v>
      </c>
      <c r="I118" s="28">
        <f t="shared" si="5"/>
        <v>-0.77950177200000004</v>
      </c>
      <c r="J118" s="26"/>
      <c r="K118" s="45">
        <f t="shared" si="6"/>
        <v>-0.77950177200000004</v>
      </c>
    </row>
    <row r="119" spans="3:11" ht="15" customHeight="1">
      <c r="C119" s="7" t="s">
        <v>213</v>
      </c>
      <c r="D119" s="24" t="s">
        <v>110</v>
      </c>
      <c r="E119" s="169">
        <v>-1</v>
      </c>
      <c r="F119" s="209">
        <v>305.2</v>
      </c>
      <c r="G119" s="209">
        <v>130.6</v>
      </c>
      <c r="H119" s="209">
        <v>19.7</v>
      </c>
      <c r="I119" s="28">
        <f t="shared" si="5"/>
        <v>-0.78522466399999991</v>
      </c>
      <c r="J119" s="26"/>
      <c r="K119" s="45">
        <f t="shared" si="6"/>
        <v>-0.78522466399999991</v>
      </c>
    </row>
    <row r="120" spans="3:11" ht="15" customHeight="1">
      <c r="C120" s="7" t="s">
        <v>214</v>
      </c>
      <c r="D120" s="24" t="s">
        <v>111</v>
      </c>
      <c r="E120" s="169">
        <v>-1</v>
      </c>
      <c r="F120" s="209">
        <v>274.7</v>
      </c>
      <c r="G120" s="209">
        <v>24.1</v>
      </c>
      <c r="H120" s="209">
        <v>42.4</v>
      </c>
      <c r="I120" s="28">
        <f t="shared" si="5"/>
        <v>-0.28069944800000002</v>
      </c>
      <c r="J120" s="26"/>
      <c r="K120" s="45">
        <f t="shared" si="6"/>
        <v>-0.28069944800000002</v>
      </c>
    </row>
    <row r="121" spans="3:11" ht="15" customHeight="1">
      <c r="C121" s="7" t="s">
        <v>215</v>
      </c>
      <c r="D121" s="24" t="s">
        <v>112</v>
      </c>
      <c r="E121" s="169">
        <v>-1</v>
      </c>
      <c r="F121" s="219">
        <f>254.1+68.2*2+18.9*2</f>
        <v>428.3</v>
      </c>
      <c r="G121" s="209">
        <v>2.2999999999999998</v>
      </c>
      <c r="H121" s="209">
        <v>5</v>
      </c>
      <c r="I121" s="28">
        <f t="shared" si="5"/>
        <v>-4.9254499999999996E-3</v>
      </c>
      <c r="J121" s="26"/>
      <c r="K121" s="45">
        <f t="shared" si="6"/>
        <v>-4.9254499999999996E-3</v>
      </c>
    </row>
    <row r="122" spans="3:11" ht="15" customHeight="1">
      <c r="C122" s="7" t="s">
        <v>216</v>
      </c>
      <c r="D122" s="24" t="s">
        <v>113</v>
      </c>
      <c r="E122" s="169">
        <v>-1</v>
      </c>
      <c r="F122" s="209">
        <v>531.9</v>
      </c>
      <c r="G122" s="209">
        <v>126.4</v>
      </c>
      <c r="H122" s="209">
        <v>83</v>
      </c>
      <c r="I122" s="28">
        <f t="shared" si="5"/>
        <v>-5.5802692800000004</v>
      </c>
      <c r="J122" s="26"/>
      <c r="K122" s="45">
        <f t="shared" si="6"/>
        <v>-5.5802692800000004</v>
      </c>
    </row>
    <row r="123" spans="3:11" ht="15" customHeight="1">
      <c r="C123" s="7" t="s">
        <v>217</v>
      </c>
      <c r="D123" s="24" t="s">
        <v>114</v>
      </c>
      <c r="E123" s="169">
        <v>-1</v>
      </c>
      <c r="F123" s="209">
        <v>241</v>
      </c>
      <c r="G123" s="209">
        <v>97.4</v>
      </c>
      <c r="H123" s="209">
        <v>20</v>
      </c>
      <c r="I123" s="28">
        <f t="shared" si="5"/>
        <v>-0.469468</v>
      </c>
      <c r="J123" s="26"/>
      <c r="K123" s="45">
        <f t="shared" si="6"/>
        <v>-0.469468</v>
      </c>
    </row>
    <row r="124" spans="3:11" ht="15" customHeight="1">
      <c r="C124" s="7" t="s">
        <v>218</v>
      </c>
      <c r="D124" s="24" t="s">
        <v>115</v>
      </c>
      <c r="E124" s="169">
        <v>-1</v>
      </c>
      <c r="F124" s="209">
        <v>531.9</v>
      </c>
      <c r="G124" s="209">
        <v>29</v>
      </c>
      <c r="H124" s="209">
        <v>20</v>
      </c>
      <c r="I124" s="28">
        <f t="shared" si="5"/>
        <v>-0.308502</v>
      </c>
      <c r="J124" s="26"/>
      <c r="K124" s="45">
        <f t="shared" si="6"/>
        <v>-0.308502</v>
      </c>
    </row>
    <row r="125" spans="3:11" ht="15" customHeight="1">
      <c r="C125" s="7" t="s">
        <v>219</v>
      </c>
      <c r="D125" s="24" t="s">
        <v>116</v>
      </c>
      <c r="E125" s="169">
        <v>-1</v>
      </c>
      <c r="F125" s="209">
        <v>531.9</v>
      </c>
      <c r="G125" s="174">
        <v>3.5</v>
      </c>
      <c r="H125" s="209">
        <v>3</v>
      </c>
      <c r="I125" s="28">
        <f t="shared" si="5"/>
        <v>-5.58495E-3</v>
      </c>
      <c r="J125" s="26"/>
      <c r="K125" s="45">
        <f t="shared" si="6"/>
        <v>-5.58495E-3</v>
      </c>
    </row>
    <row r="126" spans="3:11" ht="15" customHeight="1">
      <c r="C126" s="7" t="s">
        <v>220</v>
      </c>
      <c r="D126" s="24" t="s">
        <v>117</v>
      </c>
      <c r="E126" s="169">
        <v>-2</v>
      </c>
      <c r="F126" s="209">
        <v>29.9</v>
      </c>
      <c r="G126" s="209">
        <v>24</v>
      </c>
      <c r="H126" s="209">
        <v>3</v>
      </c>
      <c r="I126" s="28">
        <f t="shared" si="5"/>
        <v>-4.3055999999999997E-3</v>
      </c>
      <c r="J126" s="26"/>
      <c r="K126" s="45">
        <f t="shared" si="6"/>
        <v>-4.3055999999999997E-3</v>
      </c>
    </row>
    <row r="127" spans="3:11" ht="15" customHeight="1">
      <c r="C127" s="7" t="s">
        <v>221</v>
      </c>
      <c r="D127" s="24" t="s">
        <v>314</v>
      </c>
      <c r="E127" s="169"/>
      <c r="F127" s="209"/>
      <c r="G127" s="209"/>
      <c r="H127" s="209"/>
      <c r="I127" s="28"/>
      <c r="J127" s="26"/>
      <c r="K127" s="45"/>
    </row>
    <row r="128" spans="3:11" ht="15" customHeight="1">
      <c r="C128" s="318" t="s">
        <v>222</v>
      </c>
      <c r="D128" s="324" t="s">
        <v>20</v>
      </c>
      <c r="E128" s="170">
        <v>1</v>
      </c>
      <c r="F128" s="210">
        <v>703.2</v>
      </c>
      <c r="G128" s="210">
        <v>947.1</v>
      </c>
      <c r="H128" s="210">
        <v>31.5</v>
      </c>
      <c r="I128" s="28">
        <f t="shared" si="5"/>
        <v>20.979022680000003</v>
      </c>
      <c r="J128" s="26"/>
      <c r="K128" s="45">
        <f t="shared" si="6"/>
        <v>20.979022680000003</v>
      </c>
    </row>
    <row r="129" spans="3:11" ht="15" customHeight="1">
      <c r="C129" s="319"/>
      <c r="D129" s="325"/>
      <c r="E129" s="170">
        <v>-1</v>
      </c>
      <c r="F129" s="210">
        <v>693.6</v>
      </c>
      <c r="G129" s="210">
        <v>923.8</v>
      </c>
      <c r="H129" s="210">
        <v>31.5</v>
      </c>
      <c r="I129" s="28">
        <f t="shared" si="5"/>
        <v>-20.183551919999999</v>
      </c>
      <c r="J129" s="26"/>
      <c r="K129" s="45">
        <f t="shared" si="6"/>
        <v>-20.183551919999999</v>
      </c>
    </row>
    <row r="130" spans="3:11" ht="15" customHeight="1">
      <c r="C130" s="38" t="s">
        <v>223</v>
      </c>
      <c r="D130" s="24"/>
      <c r="E130" s="169"/>
      <c r="F130" s="177"/>
      <c r="G130" s="177"/>
      <c r="H130" s="177"/>
      <c r="I130" s="28">
        <f t="shared" si="5"/>
        <v>0</v>
      </c>
      <c r="J130" s="26"/>
      <c r="K130" s="45">
        <f t="shared" si="6"/>
        <v>0</v>
      </c>
    </row>
    <row r="131" spans="3:11" ht="15" customHeight="1">
      <c r="C131" s="38" t="s">
        <v>224</v>
      </c>
      <c r="D131" s="24"/>
      <c r="E131" s="169"/>
      <c r="F131" s="177"/>
      <c r="G131" s="177"/>
      <c r="H131" s="177"/>
      <c r="I131" s="28">
        <f t="shared" si="5"/>
        <v>0</v>
      </c>
      <c r="J131" s="26"/>
      <c r="K131" s="45">
        <f t="shared" si="6"/>
        <v>0</v>
      </c>
    </row>
    <row r="132" spans="3:11" ht="15" customHeight="1">
      <c r="C132" s="38" t="s">
        <v>225</v>
      </c>
      <c r="D132" s="24"/>
      <c r="E132" s="169"/>
      <c r="F132" s="177"/>
      <c r="G132" s="177"/>
      <c r="H132" s="177"/>
      <c r="I132" s="28">
        <f t="shared" si="5"/>
        <v>0</v>
      </c>
      <c r="J132" s="26"/>
      <c r="K132" s="45">
        <f t="shared" si="6"/>
        <v>0</v>
      </c>
    </row>
    <row r="133" spans="3:11" ht="15" customHeight="1">
      <c r="C133" s="38" t="s">
        <v>226</v>
      </c>
      <c r="D133" s="24" t="s">
        <v>118</v>
      </c>
      <c r="E133" s="169">
        <v>2</v>
      </c>
      <c r="F133" s="209">
        <v>243.6</v>
      </c>
      <c r="G133" s="209">
        <v>28.3</v>
      </c>
      <c r="H133" s="209">
        <v>87</v>
      </c>
      <c r="I133" s="28">
        <f t="shared" si="5"/>
        <v>1.1995351200000002</v>
      </c>
      <c r="J133" s="26"/>
      <c r="K133" s="45">
        <f t="shared" si="6"/>
        <v>1.1995351200000002</v>
      </c>
    </row>
    <row r="134" spans="3:11" ht="15" customHeight="1">
      <c r="C134" s="38" t="s">
        <v>227</v>
      </c>
      <c r="D134" s="24" t="s">
        <v>137</v>
      </c>
      <c r="E134" s="169">
        <v>-2</v>
      </c>
      <c r="F134" s="209">
        <v>222.3</v>
      </c>
      <c r="G134" s="209">
        <v>2.5</v>
      </c>
      <c r="H134" s="209">
        <v>62.8</v>
      </c>
      <c r="I134" s="28">
        <f t="shared" si="5"/>
        <v>-6.9802199999999995E-2</v>
      </c>
      <c r="J134" s="26"/>
      <c r="K134" s="45">
        <f t="shared" si="6"/>
        <v>-6.9802199999999995E-2</v>
      </c>
    </row>
    <row r="135" spans="3:11" ht="15" customHeight="1">
      <c r="C135" s="38" t="s">
        <v>228</v>
      </c>
      <c r="D135" s="24" t="s">
        <v>119</v>
      </c>
      <c r="E135" s="169">
        <v>1</v>
      </c>
      <c r="F135" s="209">
        <v>507</v>
      </c>
      <c r="G135" s="209">
        <v>5.2</v>
      </c>
      <c r="H135" s="209">
        <v>95</v>
      </c>
      <c r="I135" s="28">
        <f t="shared" si="5"/>
        <v>0.25045800000000001</v>
      </c>
      <c r="J135" s="26"/>
      <c r="K135" s="45">
        <f t="shared" si="6"/>
        <v>0.25045800000000001</v>
      </c>
    </row>
    <row r="136" spans="3:11" ht="15" customHeight="1">
      <c r="C136" s="38" t="s">
        <v>229</v>
      </c>
      <c r="D136" s="24" t="s">
        <v>136</v>
      </c>
      <c r="E136" s="169">
        <v>1</v>
      </c>
      <c r="F136" s="209">
        <v>518</v>
      </c>
      <c r="G136" s="209">
        <v>2</v>
      </c>
      <c r="H136" s="209">
        <v>102</v>
      </c>
      <c r="I136" s="28">
        <f t="shared" si="5"/>
        <v>0.105672</v>
      </c>
      <c r="J136" s="26"/>
      <c r="K136" s="45">
        <f t="shared" si="6"/>
        <v>0.105672</v>
      </c>
    </row>
    <row r="137" spans="3:11" ht="15" customHeight="1">
      <c r="C137" s="243" t="s">
        <v>230</v>
      </c>
      <c r="D137" s="24" t="s">
        <v>64</v>
      </c>
      <c r="E137" s="169">
        <v>4</v>
      </c>
      <c r="F137" s="177">
        <v>13.9</v>
      </c>
      <c r="G137" s="209">
        <v>168.5</v>
      </c>
      <c r="H137" s="209">
        <v>38</v>
      </c>
      <c r="I137" s="28">
        <f t="shared" si="5"/>
        <v>0.35600680000000001</v>
      </c>
      <c r="J137" s="26"/>
      <c r="K137" s="45">
        <f t="shared" si="6"/>
        <v>0.35600680000000001</v>
      </c>
    </row>
    <row r="138" spans="3:11" ht="15" customHeight="1">
      <c r="C138" s="38" t="s">
        <v>231</v>
      </c>
      <c r="D138" s="24" t="s">
        <v>130</v>
      </c>
      <c r="E138" s="169">
        <v>2</v>
      </c>
      <c r="F138" s="209">
        <v>5</v>
      </c>
      <c r="G138" s="209">
        <v>11.6</v>
      </c>
      <c r="H138" s="209">
        <v>56.9</v>
      </c>
      <c r="I138" s="28">
        <f t="shared" si="5"/>
        <v>6.6003999999999993E-3</v>
      </c>
      <c r="J138" s="26"/>
      <c r="K138" s="45">
        <f t="shared" si="6"/>
        <v>6.6003999999999993E-3</v>
      </c>
    </row>
    <row r="139" spans="3:11" ht="15" customHeight="1">
      <c r="C139" s="38" t="s">
        <v>232</v>
      </c>
      <c r="D139" s="24" t="s">
        <v>130</v>
      </c>
      <c r="E139" s="169">
        <v>2</v>
      </c>
      <c r="F139" s="209">
        <v>5</v>
      </c>
      <c r="G139" s="209">
        <v>42</v>
      </c>
      <c r="H139" s="209">
        <v>11.6</v>
      </c>
      <c r="I139" s="28">
        <f t="shared" si="5"/>
        <v>4.8719999999999996E-3</v>
      </c>
      <c r="J139" s="26"/>
      <c r="K139" s="45">
        <f t="shared" si="6"/>
        <v>4.8719999999999996E-3</v>
      </c>
    </row>
    <row r="140" spans="3:11" ht="15" customHeight="1">
      <c r="C140" s="38" t="s">
        <v>233</v>
      </c>
      <c r="D140" s="24" t="s">
        <v>120</v>
      </c>
      <c r="E140" s="169">
        <v>-2</v>
      </c>
      <c r="F140" s="209">
        <v>13.6</v>
      </c>
      <c r="G140" s="209">
        <v>14</v>
      </c>
      <c r="H140" s="209">
        <v>412.7</v>
      </c>
      <c r="I140" s="28">
        <f t="shared" si="5"/>
        <v>-0.15715616000000002</v>
      </c>
      <c r="J140" s="26"/>
      <c r="K140" s="45">
        <f t="shared" si="6"/>
        <v>-0.15715616000000002</v>
      </c>
    </row>
    <row r="141" spans="3:11" ht="15" customHeight="1">
      <c r="C141" s="38" t="s">
        <v>234</v>
      </c>
      <c r="D141" s="24" t="s">
        <v>121</v>
      </c>
      <c r="E141" s="169">
        <v>-4</v>
      </c>
      <c r="F141" s="209">
        <v>13.7</v>
      </c>
      <c r="G141" s="209">
        <v>9.1</v>
      </c>
      <c r="H141" s="220">
        <f>121.4+107.1</f>
        <v>228.5</v>
      </c>
      <c r="I141" s="28">
        <f t="shared" si="5"/>
        <v>-0.11394837999999999</v>
      </c>
      <c r="J141" s="26"/>
      <c r="K141" s="45">
        <f t="shared" si="6"/>
        <v>-0.11394837999999999</v>
      </c>
    </row>
    <row r="142" spans="3:11" ht="15" customHeight="1">
      <c r="C142" s="38" t="s">
        <v>235</v>
      </c>
      <c r="D142" s="24" t="s">
        <v>122</v>
      </c>
      <c r="E142" s="169">
        <v>-4</v>
      </c>
      <c r="F142" s="209">
        <v>13.7</v>
      </c>
      <c r="G142" s="209">
        <v>13</v>
      </c>
      <c r="H142" s="209">
        <v>144.6</v>
      </c>
      <c r="I142" s="28">
        <f t="shared" si="5"/>
        <v>-0.10301304</v>
      </c>
      <c r="J142" s="26"/>
      <c r="K142" s="45">
        <f t="shared" si="6"/>
        <v>-0.10301304</v>
      </c>
    </row>
    <row r="143" spans="3:11" ht="15" customHeight="1">
      <c r="C143" s="38" t="s">
        <v>236</v>
      </c>
      <c r="D143" s="24" t="s">
        <v>123</v>
      </c>
      <c r="E143" s="169">
        <v>-2</v>
      </c>
      <c r="F143" s="209">
        <v>13.7</v>
      </c>
      <c r="G143" s="209">
        <v>9.1</v>
      </c>
      <c r="H143" s="221">
        <f>96.4+107.1</f>
        <v>203.5</v>
      </c>
      <c r="I143" s="28">
        <f t="shared" si="5"/>
        <v>-5.0740689999999998E-2</v>
      </c>
      <c r="J143" s="26"/>
      <c r="K143" s="45">
        <f t="shared" si="6"/>
        <v>-5.0740689999999998E-2</v>
      </c>
    </row>
    <row r="144" spans="3:11" ht="15" customHeight="1">
      <c r="C144" s="38" t="s">
        <v>237</v>
      </c>
      <c r="D144" s="24" t="s">
        <v>124</v>
      </c>
      <c r="E144" s="169">
        <v>-2</v>
      </c>
      <c r="F144" s="209">
        <v>13.7</v>
      </c>
      <c r="G144" s="209">
        <v>13</v>
      </c>
      <c r="H144" s="209">
        <v>144.6</v>
      </c>
      <c r="I144" s="28">
        <f t="shared" si="5"/>
        <v>-5.150652E-2</v>
      </c>
      <c r="J144" s="26"/>
      <c r="K144" s="45">
        <f t="shared" si="6"/>
        <v>-5.150652E-2</v>
      </c>
    </row>
    <row r="145" spans="1:11" ht="15" customHeight="1">
      <c r="C145" s="38" t="s">
        <v>238</v>
      </c>
      <c r="D145" s="24" t="s">
        <v>139</v>
      </c>
      <c r="E145" s="169"/>
      <c r="F145" s="222"/>
      <c r="G145" s="209"/>
      <c r="H145" s="209"/>
      <c r="I145" s="28"/>
      <c r="J145" s="26"/>
      <c r="K145" s="45"/>
    </row>
    <row r="146" spans="1:11" ht="15" customHeight="1">
      <c r="C146" s="38" t="s">
        <v>239</v>
      </c>
      <c r="D146" s="24" t="s">
        <v>140</v>
      </c>
      <c r="E146" s="169"/>
      <c r="F146" s="222"/>
      <c r="G146" s="209"/>
      <c r="H146" s="222"/>
      <c r="I146" s="28"/>
      <c r="J146" s="26"/>
      <c r="K146" s="45"/>
    </row>
    <row r="147" spans="1:11" ht="15" customHeight="1">
      <c r="C147" s="38" t="s">
        <v>240</v>
      </c>
      <c r="D147" s="24" t="s">
        <v>141</v>
      </c>
      <c r="E147" s="169"/>
      <c r="F147" s="209"/>
      <c r="G147" s="209"/>
      <c r="H147" s="209"/>
      <c r="I147" s="28"/>
      <c r="J147" s="26"/>
      <c r="K147" s="45"/>
    </row>
    <row r="148" spans="1:11" ht="15" customHeight="1">
      <c r="C148" s="38" t="s">
        <v>241</v>
      </c>
      <c r="D148" s="24" t="s">
        <v>142</v>
      </c>
      <c r="E148" s="169"/>
      <c r="F148" s="209"/>
      <c r="G148" s="209"/>
      <c r="H148" s="209"/>
      <c r="I148" s="28"/>
      <c r="J148" s="26"/>
      <c r="K148" s="45"/>
    </row>
    <row r="149" spans="1:11" ht="15" customHeight="1">
      <c r="C149" s="38" t="s">
        <v>242</v>
      </c>
      <c r="D149" s="24" t="s">
        <v>143</v>
      </c>
      <c r="E149" s="169"/>
      <c r="F149" s="209"/>
      <c r="G149" s="209"/>
      <c r="H149" s="209"/>
      <c r="I149" s="28"/>
      <c r="J149" s="26"/>
      <c r="K149" s="45"/>
    </row>
    <row r="150" spans="1:11" ht="15" customHeight="1">
      <c r="C150" s="38" t="s">
        <v>243</v>
      </c>
      <c r="D150" s="24" t="s">
        <v>144</v>
      </c>
      <c r="E150" s="169"/>
      <c r="F150" s="209"/>
      <c r="G150" s="209"/>
      <c r="H150" s="209"/>
      <c r="I150" s="28"/>
      <c r="J150" s="26"/>
      <c r="K150" s="45"/>
    </row>
    <row r="151" spans="1:11" ht="15" customHeight="1">
      <c r="C151" s="38" t="s">
        <v>244</v>
      </c>
      <c r="D151" s="24" t="s">
        <v>145</v>
      </c>
      <c r="E151" s="169"/>
      <c r="F151" s="209"/>
      <c r="G151" s="209"/>
      <c r="H151" s="209"/>
      <c r="I151" s="28"/>
      <c r="J151" s="26"/>
      <c r="K151" s="45"/>
    </row>
    <row r="152" spans="1:11" ht="15" customHeight="1">
      <c r="C152" s="38" t="s">
        <v>245</v>
      </c>
      <c r="D152" s="24" t="s">
        <v>146</v>
      </c>
      <c r="E152" s="169"/>
      <c r="F152" s="209"/>
      <c r="G152" s="209"/>
      <c r="H152" s="209"/>
      <c r="I152" s="28"/>
      <c r="J152" s="26"/>
      <c r="K152" s="45"/>
    </row>
    <row r="153" spans="1:11" ht="15" customHeight="1">
      <c r="C153" s="38" t="s">
        <v>246</v>
      </c>
      <c r="D153" s="24" t="s">
        <v>315</v>
      </c>
      <c r="E153" s="169"/>
      <c r="F153" s="209"/>
      <c r="G153" s="209"/>
      <c r="H153" s="209"/>
      <c r="I153" s="28"/>
      <c r="J153" s="26"/>
      <c r="K153" s="45"/>
    </row>
    <row r="154" spans="1:11" ht="15" customHeight="1">
      <c r="C154" s="38" t="s">
        <v>247</v>
      </c>
      <c r="D154" s="24" t="s">
        <v>125</v>
      </c>
      <c r="E154" s="169">
        <v>-2</v>
      </c>
      <c r="F154" s="209">
        <v>8</v>
      </c>
      <c r="G154" s="209">
        <v>9.5</v>
      </c>
      <c r="H154" s="209">
        <v>427</v>
      </c>
      <c r="I154" s="28">
        <f t="shared" ref="I154:I167" si="8">(E154*F154*G154*H154)/1000000</f>
        <v>-6.4904000000000003E-2</v>
      </c>
      <c r="J154" s="26"/>
      <c r="K154" s="45">
        <f t="shared" si="6"/>
        <v>-6.4904000000000003E-2</v>
      </c>
    </row>
    <row r="155" spans="1:11" ht="15" customHeight="1">
      <c r="C155" s="38" t="s">
        <v>248</v>
      </c>
      <c r="D155" s="24" t="s">
        <v>126</v>
      </c>
      <c r="E155" s="169">
        <v>-2</v>
      </c>
      <c r="F155" s="209">
        <v>15.5</v>
      </c>
      <c r="G155" s="209">
        <v>12</v>
      </c>
      <c r="H155" s="209">
        <v>427</v>
      </c>
      <c r="I155" s="28">
        <f t="shared" si="8"/>
        <v>-0.15884400000000001</v>
      </c>
      <c r="J155" s="26"/>
      <c r="K155" s="45">
        <f t="shared" si="6"/>
        <v>-0.15884400000000001</v>
      </c>
    </row>
    <row r="156" spans="1:11" ht="15" customHeight="1">
      <c r="A156" s="189"/>
      <c r="C156" s="38" t="s">
        <v>249</v>
      </c>
      <c r="D156" s="24" t="s">
        <v>127</v>
      </c>
      <c r="E156" s="169">
        <v>2</v>
      </c>
      <c r="F156" s="209">
        <f>6.8-3.4</f>
        <v>3.4</v>
      </c>
      <c r="G156" s="209">
        <v>47</v>
      </c>
      <c r="H156" s="209">
        <v>471.8</v>
      </c>
      <c r="I156" s="28">
        <f t="shared" si="8"/>
        <v>0.15078728</v>
      </c>
      <c r="J156" s="26"/>
      <c r="K156" s="45">
        <f t="shared" si="6"/>
        <v>0.15078728</v>
      </c>
    </row>
    <row r="157" spans="1:11" ht="15" customHeight="1">
      <c r="A157" s="189"/>
      <c r="C157" s="243" t="s">
        <v>359</v>
      </c>
      <c r="D157" s="24" t="s">
        <v>127</v>
      </c>
      <c r="E157" s="169">
        <v>2</v>
      </c>
      <c r="F157" s="209">
        <f>6.8-3.4</f>
        <v>3.4</v>
      </c>
      <c r="G157" s="209">
        <v>47</v>
      </c>
      <c r="H157" s="177">
        <v>399.8</v>
      </c>
      <c r="I157" s="28">
        <f t="shared" si="8"/>
        <v>0.12777607999999999</v>
      </c>
      <c r="J157" s="26"/>
      <c r="K157" s="36">
        <f t="shared" si="6"/>
        <v>0.12777607999999999</v>
      </c>
    </row>
    <row r="158" spans="1:11" ht="15" customHeight="1">
      <c r="C158" s="38" t="s">
        <v>250</v>
      </c>
      <c r="D158" s="24" t="s">
        <v>68</v>
      </c>
      <c r="E158" s="169"/>
      <c r="F158" s="209"/>
      <c r="G158" s="209"/>
      <c r="H158" s="209"/>
      <c r="I158" s="28"/>
      <c r="J158" s="26"/>
      <c r="K158" s="45"/>
    </row>
    <row r="159" spans="1:11" ht="15" customHeight="1">
      <c r="C159" s="243" t="s">
        <v>360</v>
      </c>
      <c r="D159" s="24" t="s">
        <v>68</v>
      </c>
      <c r="E159" s="169"/>
      <c r="F159" s="209"/>
      <c r="G159" s="209"/>
      <c r="H159" s="177"/>
      <c r="I159" s="28"/>
      <c r="J159" s="26"/>
      <c r="K159" s="36"/>
    </row>
    <row r="160" spans="1:11" ht="15" customHeight="1">
      <c r="A160" s="189"/>
      <c r="C160" s="38" t="s">
        <v>251</v>
      </c>
      <c r="D160" s="24" t="s">
        <v>128</v>
      </c>
      <c r="E160" s="178">
        <v>-4</v>
      </c>
      <c r="F160" s="209">
        <f>16.5-3.4</f>
        <v>13.1</v>
      </c>
      <c r="G160" s="209">
        <v>9.1</v>
      </c>
      <c r="H160" s="209">
        <v>415.9</v>
      </c>
      <c r="I160" s="28">
        <f t="shared" si="8"/>
        <v>-0.19831775599999996</v>
      </c>
      <c r="J160" s="26"/>
      <c r="K160" s="45">
        <f t="shared" si="6"/>
        <v>-0.19831775599999996</v>
      </c>
    </row>
    <row r="161" spans="1:11" ht="15" customHeight="1">
      <c r="A161" s="189"/>
      <c r="C161" s="38" t="s">
        <v>252</v>
      </c>
      <c r="D161" s="24" t="s">
        <v>128</v>
      </c>
      <c r="E161" s="169">
        <v>-2</v>
      </c>
      <c r="F161" s="209">
        <v>10</v>
      </c>
      <c r="G161" s="209">
        <v>9.1</v>
      </c>
      <c r="H161" s="209">
        <v>55.2</v>
      </c>
      <c r="I161" s="28">
        <f t="shared" si="8"/>
        <v>-1.00464E-2</v>
      </c>
      <c r="J161" s="26"/>
      <c r="K161" s="45">
        <f t="shared" si="6"/>
        <v>-1.00464E-2</v>
      </c>
    </row>
    <row r="162" spans="1:11" ht="15" customHeight="1">
      <c r="A162" s="189"/>
      <c r="C162" s="38" t="s">
        <v>253</v>
      </c>
      <c r="D162" s="24" t="s">
        <v>128</v>
      </c>
      <c r="E162" s="178">
        <v>-4</v>
      </c>
      <c r="F162" s="209">
        <f>9.5-3.4</f>
        <v>6.1</v>
      </c>
      <c r="G162" s="209">
        <v>12</v>
      </c>
      <c r="H162" s="209">
        <v>47.5</v>
      </c>
      <c r="I162" s="28">
        <f t="shared" si="8"/>
        <v>-1.3907999999999998E-2</v>
      </c>
      <c r="J162" s="26"/>
      <c r="K162" s="45">
        <f t="shared" si="6"/>
        <v>-1.3907999999999998E-2</v>
      </c>
    </row>
    <row r="163" spans="1:11" ht="15" customHeight="1">
      <c r="A163" s="189"/>
      <c r="C163" s="38" t="s">
        <v>254</v>
      </c>
      <c r="D163" s="24" t="s">
        <v>129</v>
      </c>
      <c r="E163" s="169">
        <v>-2</v>
      </c>
      <c r="F163" s="209">
        <v>10</v>
      </c>
      <c r="G163" s="209">
        <v>7.2</v>
      </c>
      <c r="H163" s="209">
        <v>394.8</v>
      </c>
      <c r="I163" s="28">
        <f t="shared" si="8"/>
        <v>-5.6851200000000005E-2</v>
      </c>
      <c r="J163" s="26"/>
      <c r="K163" s="45">
        <f t="shared" si="6"/>
        <v>-5.6851200000000005E-2</v>
      </c>
    </row>
    <row r="164" spans="1:11" ht="15" customHeight="1">
      <c r="A164" s="189"/>
      <c r="C164" s="38" t="s">
        <v>255</v>
      </c>
      <c r="D164" s="24" t="s">
        <v>129</v>
      </c>
      <c r="E164" s="169">
        <v>-2</v>
      </c>
      <c r="F164" s="209">
        <v>8</v>
      </c>
      <c r="G164" s="209">
        <v>7.2</v>
      </c>
      <c r="H164" s="209">
        <v>55.2</v>
      </c>
      <c r="I164" s="28">
        <f t="shared" si="8"/>
        <v>-6.3590400000000007E-3</v>
      </c>
      <c r="J164" s="26"/>
      <c r="K164" s="45">
        <f t="shared" ref="K164:K167" si="9">I164</f>
        <v>-6.3590400000000007E-3</v>
      </c>
    </row>
    <row r="165" spans="1:11" ht="15" customHeight="1">
      <c r="C165" s="38" t="s">
        <v>256</v>
      </c>
      <c r="D165" s="24" t="s">
        <v>131</v>
      </c>
      <c r="E165" s="169">
        <v>2</v>
      </c>
      <c r="F165" s="209">
        <v>5.5</v>
      </c>
      <c r="G165" s="209">
        <v>947.1</v>
      </c>
      <c r="H165" s="209">
        <v>33.5</v>
      </c>
      <c r="I165" s="28">
        <f t="shared" si="8"/>
        <v>0.34900635000000002</v>
      </c>
      <c r="J165" s="26"/>
      <c r="K165" s="45">
        <f t="shared" si="9"/>
        <v>0.34900635000000002</v>
      </c>
    </row>
    <row r="166" spans="1:11" ht="15" customHeight="1">
      <c r="C166" s="38" t="s">
        <v>257</v>
      </c>
      <c r="D166" s="24" t="s">
        <v>132</v>
      </c>
      <c r="E166" s="169">
        <v>1</v>
      </c>
      <c r="F166" s="209">
        <v>681.2</v>
      </c>
      <c r="G166" s="209">
        <v>3.9</v>
      </c>
      <c r="H166" s="209">
        <v>33.5</v>
      </c>
      <c r="I166" s="28">
        <f t="shared" si="8"/>
        <v>8.8998780000000013E-2</v>
      </c>
      <c r="J166" s="26"/>
      <c r="K166" s="45">
        <f t="shared" si="9"/>
        <v>8.8998780000000013E-2</v>
      </c>
    </row>
    <row r="167" spans="1:11" ht="15" customHeight="1">
      <c r="C167" s="38" t="s">
        <v>258</v>
      </c>
      <c r="D167" s="24" t="s">
        <v>133</v>
      </c>
      <c r="E167" s="169">
        <v>-1</v>
      </c>
      <c r="F167" s="209">
        <v>703.2</v>
      </c>
      <c r="G167" s="209">
        <v>5.5</v>
      </c>
      <c r="H167" s="209">
        <v>28.3</v>
      </c>
      <c r="I167" s="28">
        <f t="shared" si="8"/>
        <v>-0.10945308000000002</v>
      </c>
      <c r="J167" s="26"/>
      <c r="K167" s="45">
        <f t="shared" si="9"/>
        <v>-0.10945308000000002</v>
      </c>
    </row>
    <row r="168" spans="1:11" ht="15" customHeight="1">
      <c r="C168" s="38" t="s">
        <v>259</v>
      </c>
      <c r="D168" s="24" t="s">
        <v>316</v>
      </c>
      <c r="E168" s="169"/>
      <c r="F168" s="209"/>
      <c r="G168" s="209"/>
      <c r="H168" s="209"/>
      <c r="I168" s="28"/>
      <c r="J168" s="26"/>
      <c r="K168" s="45"/>
    </row>
    <row r="169" spans="1:11" ht="15" customHeight="1">
      <c r="C169" s="38" t="s">
        <v>260</v>
      </c>
      <c r="D169" s="24" t="s">
        <v>316</v>
      </c>
      <c r="E169" s="169"/>
      <c r="F169" s="209"/>
      <c r="G169" s="209"/>
      <c r="H169" s="209"/>
      <c r="I169" s="28"/>
      <c r="J169" s="26"/>
      <c r="K169" s="45"/>
    </row>
    <row r="170" spans="1:11" ht="15" customHeight="1">
      <c r="C170" s="38" t="s">
        <v>261</v>
      </c>
      <c r="D170" s="24" t="s">
        <v>316</v>
      </c>
      <c r="E170" s="169"/>
      <c r="F170" s="209"/>
      <c r="G170" s="209"/>
      <c r="H170" s="209"/>
      <c r="I170" s="28"/>
      <c r="J170" s="26"/>
      <c r="K170" s="45"/>
    </row>
    <row r="171" spans="1:11" ht="15" customHeight="1">
      <c r="C171" s="38" t="s">
        <v>262</v>
      </c>
      <c r="D171" s="24" t="s">
        <v>316</v>
      </c>
      <c r="E171" s="169"/>
      <c r="F171" s="223"/>
      <c r="G171" s="209"/>
      <c r="H171" s="209"/>
      <c r="I171" s="28"/>
      <c r="J171" s="26"/>
      <c r="K171" s="45"/>
    </row>
    <row r="172" spans="1:11" ht="15" customHeight="1">
      <c r="C172" s="38" t="s">
        <v>263</v>
      </c>
      <c r="D172" s="24" t="s">
        <v>317</v>
      </c>
      <c r="E172" s="169"/>
      <c r="F172" s="209"/>
      <c r="G172" s="209"/>
      <c r="H172" s="209"/>
      <c r="I172" s="28"/>
      <c r="J172" s="26"/>
      <c r="K172" s="45"/>
    </row>
    <row r="173" spans="1:11" ht="15" customHeight="1">
      <c r="C173" s="38" t="s">
        <v>264</v>
      </c>
      <c r="D173" s="24" t="s">
        <v>317</v>
      </c>
      <c r="E173" s="169"/>
      <c r="F173" s="209"/>
      <c r="G173" s="209"/>
      <c r="H173" s="209"/>
      <c r="I173" s="28"/>
      <c r="J173" s="26"/>
      <c r="K173" s="45"/>
    </row>
    <row r="174" spans="1:11" ht="15" customHeight="1">
      <c r="C174" s="38" t="s">
        <v>265</v>
      </c>
      <c r="D174" s="24" t="s">
        <v>316</v>
      </c>
      <c r="E174" s="169"/>
      <c r="F174" s="209"/>
      <c r="G174" s="209"/>
      <c r="H174" s="209"/>
      <c r="I174" s="28"/>
      <c r="J174" s="26"/>
      <c r="K174" s="45"/>
    </row>
    <row r="175" spans="1:11" ht="15" customHeight="1">
      <c r="C175" s="38" t="s">
        <v>266</v>
      </c>
      <c r="D175" s="24" t="s">
        <v>316</v>
      </c>
      <c r="E175" s="169"/>
      <c r="F175" s="209"/>
      <c r="G175" s="209"/>
      <c r="H175" s="209"/>
      <c r="I175" s="28"/>
      <c r="J175" s="26"/>
      <c r="K175" s="45"/>
    </row>
    <row r="176" spans="1:11" ht="15" customHeight="1">
      <c r="C176" s="38" t="s">
        <v>267</v>
      </c>
      <c r="D176" s="24" t="s">
        <v>318</v>
      </c>
      <c r="E176" s="169"/>
      <c r="F176" s="209"/>
      <c r="G176" s="209"/>
      <c r="H176" s="209"/>
      <c r="I176" s="28"/>
      <c r="J176" s="26"/>
      <c r="K176" s="45"/>
    </row>
    <row r="177" spans="1:11" ht="15" customHeight="1">
      <c r="C177" s="38" t="s">
        <v>268</v>
      </c>
      <c r="D177" s="24" t="s">
        <v>319</v>
      </c>
      <c r="E177" s="169"/>
      <c r="F177" s="209"/>
      <c r="G177" s="209"/>
      <c r="H177" s="209"/>
      <c r="I177" s="28"/>
      <c r="J177" s="26"/>
      <c r="K177" s="45"/>
    </row>
    <row r="178" spans="1:11" ht="15" customHeight="1">
      <c r="C178" s="38" t="s">
        <v>269</v>
      </c>
      <c r="D178" s="24" t="s">
        <v>318</v>
      </c>
      <c r="E178" s="169"/>
      <c r="F178" s="209"/>
      <c r="G178" s="209"/>
      <c r="H178" s="209"/>
      <c r="I178" s="28"/>
      <c r="J178" s="26"/>
      <c r="K178" s="45"/>
    </row>
    <row r="179" spans="1:11" ht="15" customHeight="1">
      <c r="C179" s="38" t="s">
        <v>270</v>
      </c>
      <c r="D179" s="24" t="s">
        <v>319</v>
      </c>
      <c r="E179" s="169"/>
      <c r="F179" s="209"/>
      <c r="G179" s="209"/>
      <c r="H179" s="209"/>
      <c r="I179" s="28"/>
      <c r="J179" s="26"/>
      <c r="K179" s="45"/>
    </row>
    <row r="180" spans="1:11" ht="15" customHeight="1">
      <c r="C180" s="38" t="s">
        <v>271</v>
      </c>
      <c r="D180" s="24" t="s">
        <v>318</v>
      </c>
      <c r="E180" s="169"/>
      <c r="F180" s="209"/>
      <c r="G180" s="209"/>
      <c r="H180" s="209"/>
      <c r="I180" s="28"/>
      <c r="J180" s="26"/>
      <c r="K180" s="45"/>
    </row>
    <row r="181" spans="1:11" ht="15" customHeight="1">
      <c r="C181" s="38" t="s">
        <v>272</v>
      </c>
      <c r="D181" s="24" t="s">
        <v>318</v>
      </c>
      <c r="E181" s="169"/>
      <c r="F181" s="209"/>
      <c r="G181" s="209"/>
      <c r="H181" s="209"/>
      <c r="I181" s="28"/>
      <c r="J181" s="26"/>
      <c r="K181" s="45"/>
    </row>
    <row r="182" spans="1:11" ht="15" customHeight="1">
      <c r="C182" s="5"/>
      <c r="D182" s="24"/>
      <c r="E182" s="172"/>
      <c r="F182" s="25"/>
      <c r="G182" s="25"/>
      <c r="H182" s="25"/>
      <c r="I182" s="207"/>
      <c r="J182" s="26"/>
      <c r="K182" s="57"/>
    </row>
    <row r="183" spans="1:11" s="54" customFormat="1" ht="15" customHeight="1">
      <c r="C183" s="40"/>
      <c r="D183" s="40"/>
      <c r="E183" s="40"/>
      <c r="F183" s="41"/>
      <c r="G183" s="41"/>
      <c r="H183" s="41"/>
      <c r="I183" s="40"/>
      <c r="J183" s="166"/>
      <c r="K183" s="48">
        <f>ROUND(SUM(K85:K182),1)</f>
        <v>376.4</v>
      </c>
    </row>
    <row r="184" spans="1:11" ht="15" customHeight="1">
      <c r="C184" s="9"/>
      <c r="D184" s="9"/>
      <c r="E184" s="9"/>
      <c r="F184" s="9"/>
      <c r="G184" s="9"/>
      <c r="H184" s="9"/>
      <c r="I184" s="9"/>
      <c r="J184" s="4"/>
    </row>
    <row r="187" spans="1:11" ht="15" customHeight="1">
      <c r="A187" s="189" t="s">
        <v>311</v>
      </c>
    </row>
  </sheetData>
  <mergeCells count="15">
    <mergeCell ref="C128:C129"/>
    <mergeCell ref="D128:D129"/>
    <mergeCell ref="C83:C84"/>
    <mergeCell ref="D83:D84"/>
    <mergeCell ref="F83:H83"/>
    <mergeCell ref="H9:I9"/>
    <mergeCell ref="H10:I10"/>
    <mergeCell ref="I83:I84"/>
    <mergeCell ref="C33:C34"/>
    <mergeCell ref="D33:D34"/>
    <mergeCell ref="H11:I11"/>
    <mergeCell ref="C14:C15"/>
    <mergeCell ref="D14:D15"/>
    <mergeCell ref="F14:H14"/>
    <mergeCell ref="I14:I15"/>
  </mergeCells>
  <phoneticPr fontId="1"/>
  <pageMargins left="0.39370078740157483" right="0.19685039370078741" top="0.39370078740157483" bottom="0.19685039370078741" header="0" footer="0"/>
  <pageSetup paperSize="9" scale="57" fitToWidth="0" fitToHeight="2" orientation="portrait" r:id="rId1"/>
  <headerFooter alignWithMargins="0"/>
  <rowBreaks count="1" manualBreakCount="1">
    <brk id="81" min="2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A65"/>
  <sheetViews>
    <sheetView showGridLines="0" view="pageBreakPreview" topLeftCell="E1" zoomScaleNormal="100" zoomScaleSheetLayoutView="100" workbookViewId="0">
      <selection activeCell="L19" sqref="L19"/>
    </sheetView>
  </sheetViews>
  <sheetFormatPr defaultRowHeight="14.25"/>
  <cols>
    <col min="1" max="1" width="1.125" style="59" customWidth="1"/>
    <col min="2" max="2" width="3.875" style="59" customWidth="1"/>
    <col min="3" max="3" width="2.625" style="59" customWidth="1"/>
    <col min="4" max="4" width="14.625" style="59" customWidth="1"/>
    <col min="5" max="5" width="18.625" style="59" customWidth="1"/>
    <col min="6" max="13" width="8.625" style="59" customWidth="1"/>
    <col min="14" max="14" width="2.25" style="59" customWidth="1"/>
    <col min="15" max="15" width="1.75" style="59" customWidth="1"/>
    <col min="16" max="16" width="4.625" style="59" customWidth="1"/>
    <col min="17" max="17" width="8.875" style="59" bestFit="1" customWidth="1"/>
    <col min="18" max="20" width="9.875" style="59" customWidth="1"/>
    <col min="21" max="256" width="9" style="59"/>
    <col min="257" max="257" width="1.125" style="59" customWidth="1"/>
    <col min="258" max="258" width="3.875" style="59" customWidth="1"/>
    <col min="259" max="259" width="2.625" style="59" customWidth="1"/>
    <col min="260" max="260" width="14.625" style="59" customWidth="1"/>
    <col min="261" max="261" width="18.625" style="59" customWidth="1"/>
    <col min="262" max="269" width="8.625" style="59" customWidth="1"/>
    <col min="270" max="270" width="2.25" style="59" customWidth="1"/>
    <col min="271" max="271" width="1.75" style="59" customWidth="1"/>
    <col min="272" max="272" width="4.625" style="59" customWidth="1"/>
    <col min="273" max="273" width="8.875" style="59" bestFit="1" customWidth="1"/>
    <col min="274" max="276" width="9.875" style="59" customWidth="1"/>
    <col min="277" max="512" width="9" style="59"/>
    <col min="513" max="513" width="1.125" style="59" customWidth="1"/>
    <col min="514" max="514" width="3.875" style="59" customWidth="1"/>
    <col min="515" max="515" width="2.625" style="59" customWidth="1"/>
    <col min="516" max="516" width="14.625" style="59" customWidth="1"/>
    <col min="517" max="517" width="18.625" style="59" customWidth="1"/>
    <col min="518" max="525" width="8.625" style="59" customWidth="1"/>
    <col min="526" max="526" width="2.25" style="59" customWidth="1"/>
    <col min="527" max="527" width="1.75" style="59" customWidth="1"/>
    <col min="528" max="528" width="4.625" style="59" customWidth="1"/>
    <col min="529" max="529" width="8.875" style="59" bestFit="1" customWidth="1"/>
    <col min="530" max="532" width="9.875" style="59" customWidth="1"/>
    <col min="533" max="768" width="9" style="59"/>
    <col min="769" max="769" width="1.125" style="59" customWidth="1"/>
    <col min="770" max="770" width="3.875" style="59" customWidth="1"/>
    <col min="771" max="771" width="2.625" style="59" customWidth="1"/>
    <col min="772" max="772" width="14.625" style="59" customWidth="1"/>
    <col min="773" max="773" width="18.625" style="59" customWidth="1"/>
    <col min="774" max="781" width="8.625" style="59" customWidth="1"/>
    <col min="782" max="782" width="2.25" style="59" customWidth="1"/>
    <col min="783" max="783" width="1.75" style="59" customWidth="1"/>
    <col min="784" max="784" width="4.625" style="59" customWidth="1"/>
    <col min="785" max="785" width="8.875" style="59" bestFit="1" customWidth="1"/>
    <col min="786" max="788" width="9.875" style="59" customWidth="1"/>
    <col min="789" max="1024" width="9" style="59"/>
    <col min="1025" max="1025" width="1.125" style="59" customWidth="1"/>
    <col min="1026" max="1026" width="3.875" style="59" customWidth="1"/>
    <col min="1027" max="1027" width="2.625" style="59" customWidth="1"/>
    <col min="1028" max="1028" width="14.625" style="59" customWidth="1"/>
    <col min="1029" max="1029" width="18.625" style="59" customWidth="1"/>
    <col min="1030" max="1037" width="8.625" style="59" customWidth="1"/>
    <col min="1038" max="1038" width="2.25" style="59" customWidth="1"/>
    <col min="1039" max="1039" width="1.75" style="59" customWidth="1"/>
    <col min="1040" max="1040" width="4.625" style="59" customWidth="1"/>
    <col min="1041" max="1041" width="8.875" style="59" bestFit="1" customWidth="1"/>
    <col min="1042" max="1044" width="9.875" style="59" customWidth="1"/>
    <col min="1045" max="1280" width="9" style="59"/>
    <col min="1281" max="1281" width="1.125" style="59" customWidth="1"/>
    <col min="1282" max="1282" width="3.875" style="59" customWidth="1"/>
    <col min="1283" max="1283" width="2.625" style="59" customWidth="1"/>
    <col min="1284" max="1284" width="14.625" style="59" customWidth="1"/>
    <col min="1285" max="1285" width="18.625" style="59" customWidth="1"/>
    <col min="1286" max="1293" width="8.625" style="59" customWidth="1"/>
    <col min="1294" max="1294" width="2.25" style="59" customWidth="1"/>
    <col min="1295" max="1295" width="1.75" style="59" customWidth="1"/>
    <col min="1296" max="1296" width="4.625" style="59" customWidth="1"/>
    <col min="1297" max="1297" width="8.875" style="59" bestFit="1" customWidth="1"/>
    <col min="1298" max="1300" width="9.875" style="59" customWidth="1"/>
    <col min="1301" max="1536" width="9" style="59"/>
    <col min="1537" max="1537" width="1.125" style="59" customWidth="1"/>
    <col min="1538" max="1538" width="3.875" style="59" customWidth="1"/>
    <col min="1539" max="1539" width="2.625" style="59" customWidth="1"/>
    <col min="1540" max="1540" width="14.625" style="59" customWidth="1"/>
    <col min="1541" max="1541" width="18.625" style="59" customWidth="1"/>
    <col min="1542" max="1549" width="8.625" style="59" customWidth="1"/>
    <col min="1550" max="1550" width="2.25" style="59" customWidth="1"/>
    <col min="1551" max="1551" width="1.75" style="59" customWidth="1"/>
    <col min="1552" max="1552" width="4.625" style="59" customWidth="1"/>
    <col min="1553" max="1553" width="8.875" style="59" bestFit="1" customWidth="1"/>
    <col min="1554" max="1556" width="9.875" style="59" customWidth="1"/>
    <col min="1557" max="1792" width="9" style="59"/>
    <col min="1793" max="1793" width="1.125" style="59" customWidth="1"/>
    <col min="1794" max="1794" width="3.875" style="59" customWidth="1"/>
    <col min="1795" max="1795" width="2.625" style="59" customWidth="1"/>
    <col min="1796" max="1796" width="14.625" style="59" customWidth="1"/>
    <col min="1797" max="1797" width="18.625" style="59" customWidth="1"/>
    <col min="1798" max="1805" width="8.625" style="59" customWidth="1"/>
    <col min="1806" max="1806" width="2.25" style="59" customWidth="1"/>
    <col min="1807" max="1807" width="1.75" style="59" customWidth="1"/>
    <col min="1808" max="1808" width="4.625" style="59" customWidth="1"/>
    <col min="1809" max="1809" width="8.875" style="59" bestFit="1" customWidth="1"/>
    <col min="1810" max="1812" width="9.875" style="59" customWidth="1"/>
    <col min="1813" max="2048" width="9" style="59"/>
    <col min="2049" max="2049" width="1.125" style="59" customWidth="1"/>
    <col min="2050" max="2050" width="3.875" style="59" customWidth="1"/>
    <col min="2051" max="2051" width="2.625" style="59" customWidth="1"/>
    <col min="2052" max="2052" width="14.625" style="59" customWidth="1"/>
    <col min="2053" max="2053" width="18.625" style="59" customWidth="1"/>
    <col min="2054" max="2061" width="8.625" style="59" customWidth="1"/>
    <col min="2062" max="2062" width="2.25" style="59" customWidth="1"/>
    <col min="2063" max="2063" width="1.75" style="59" customWidth="1"/>
    <col min="2064" max="2064" width="4.625" style="59" customWidth="1"/>
    <col min="2065" max="2065" width="8.875" style="59" bestFit="1" customWidth="1"/>
    <col min="2066" max="2068" width="9.875" style="59" customWidth="1"/>
    <col min="2069" max="2304" width="9" style="59"/>
    <col min="2305" max="2305" width="1.125" style="59" customWidth="1"/>
    <col min="2306" max="2306" width="3.875" style="59" customWidth="1"/>
    <col min="2307" max="2307" width="2.625" style="59" customWidth="1"/>
    <col min="2308" max="2308" width="14.625" style="59" customWidth="1"/>
    <col min="2309" max="2309" width="18.625" style="59" customWidth="1"/>
    <col min="2310" max="2317" width="8.625" style="59" customWidth="1"/>
    <col min="2318" max="2318" width="2.25" style="59" customWidth="1"/>
    <col min="2319" max="2319" width="1.75" style="59" customWidth="1"/>
    <col min="2320" max="2320" width="4.625" style="59" customWidth="1"/>
    <col min="2321" max="2321" width="8.875" style="59" bestFit="1" customWidth="1"/>
    <col min="2322" max="2324" width="9.875" style="59" customWidth="1"/>
    <col min="2325" max="2560" width="9" style="59"/>
    <col min="2561" max="2561" width="1.125" style="59" customWidth="1"/>
    <col min="2562" max="2562" width="3.875" style="59" customWidth="1"/>
    <col min="2563" max="2563" width="2.625" style="59" customWidth="1"/>
    <col min="2564" max="2564" width="14.625" style="59" customWidth="1"/>
    <col min="2565" max="2565" width="18.625" style="59" customWidth="1"/>
    <col min="2566" max="2573" width="8.625" style="59" customWidth="1"/>
    <col min="2574" max="2574" width="2.25" style="59" customWidth="1"/>
    <col min="2575" max="2575" width="1.75" style="59" customWidth="1"/>
    <col min="2576" max="2576" width="4.625" style="59" customWidth="1"/>
    <col min="2577" max="2577" width="8.875" style="59" bestFit="1" customWidth="1"/>
    <col min="2578" max="2580" width="9.875" style="59" customWidth="1"/>
    <col min="2581" max="2816" width="9" style="59"/>
    <col min="2817" max="2817" width="1.125" style="59" customWidth="1"/>
    <col min="2818" max="2818" width="3.875" style="59" customWidth="1"/>
    <col min="2819" max="2819" width="2.625" style="59" customWidth="1"/>
    <col min="2820" max="2820" width="14.625" style="59" customWidth="1"/>
    <col min="2821" max="2821" width="18.625" style="59" customWidth="1"/>
    <col min="2822" max="2829" width="8.625" style="59" customWidth="1"/>
    <col min="2830" max="2830" width="2.25" style="59" customWidth="1"/>
    <col min="2831" max="2831" width="1.75" style="59" customWidth="1"/>
    <col min="2832" max="2832" width="4.625" style="59" customWidth="1"/>
    <col min="2833" max="2833" width="8.875" style="59" bestFit="1" customWidth="1"/>
    <col min="2834" max="2836" width="9.875" style="59" customWidth="1"/>
    <col min="2837" max="3072" width="9" style="59"/>
    <col min="3073" max="3073" width="1.125" style="59" customWidth="1"/>
    <col min="3074" max="3074" width="3.875" style="59" customWidth="1"/>
    <col min="3075" max="3075" width="2.625" style="59" customWidth="1"/>
    <col min="3076" max="3076" width="14.625" style="59" customWidth="1"/>
    <col min="3077" max="3077" width="18.625" style="59" customWidth="1"/>
    <col min="3078" max="3085" width="8.625" style="59" customWidth="1"/>
    <col min="3086" max="3086" width="2.25" style="59" customWidth="1"/>
    <col min="3087" max="3087" width="1.75" style="59" customWidth="1"/>
    <col min="3088" max="3088" width="4.625" style="59" customWidth="1"/>
    <col min="3089" max="3089" width="8.875" style="59" bestFit="1" customWidth="1"/>
    <col min="3090" max="3092" width="9.875" style="59" customWidth="1"/>
    <col min="3093" max="3328" width="9" style="59"/>
    <col min="3329" max="3329" width="1.125" style="59" customWidth="1"/>
    <col min="3330" max="3330" width="3.875" style="59" customWidth="1"/>
    <col min="3331" max="3331" width="2.625" style="59" customWidth="1"/>
    <col min="3332" max="3332" width="14.625" style="59" customWidth="1"/>
    <col min="3333" max="3333" width="18.625" style="59" customWidth="1"/>
    <col min="3334" max="3341" width="8.625" style="59" customWidth="1"/>
    <col min="3342" max="3342" width="2.25" style="59" customWidth="1"/>
    <col min="3343" max="3343" width="1.75" style="59" customWidth="1"/>
    <col min="3344" max="3344" width="4.625" style="59" customWidth="1"/>
    <col min="3345" max="3345" width="8.875" style="59" bestFit="1" customWidth="1"/>
    <col min="3346" max="3348" width="9.875" style="59" customWidth="1"/>
    <col min="3349" max="3584" width="9" style="59"/>
    <col min="3585" max="3585" width="1.125" style="59" customWidth="1"/>
    <col min="3586" max="3586" width="3.875" style="59" customWidth="1"/>
    <col min="3587" max="3587" width="2.625" style="59" customWidth="1"/>
    <col min="3588" max="3588" width="14.625" style="59" customWidth="1"/>
    <col min="3589" max="3589" width="18.625" style="59" customWidth="1"/>
    <col min="3590" max="3597" width="8.625" style="59" customWidth="1"/>
    <col min="3598" max="3598" width="2.25" style="59" customWidth="1"/>
    <col min="3599" max="3599" width="1.75" style="59" customWidth="1"/>
    <col min="3600" max="3600" width="4.625" style="59" customWidth="1"/>
    <col min="3601" max="3601" width="8.875" style="59" bestFit="1" customWidth="1"/>
    <col min="3602" max="3604" width="9.875" style="59" customWidth="1"/>
    <col min="3605" max="3840" width="9" style="59"/>
    <col min="3841" max="3841" width="1.125" style="59" customWidth="1"/>
    <col min="3842" max="3842" width="3.875" style="59" customWidth="1"/>
    <col min="3843" max="3843" width="2.625" style="59" customWidth="1"/>
    <col min="3844" max="3844" width="14.625" style="59" customWidth="1"/>
    <col min="3845" max="3845" width="18.625" style="59" customWidth="1"/>
    <col min="3846" max="3853" width="8.625" style="59" customWidth="1"/>
    <col min="3854" max="3854" width="2.25" style="59" customWidth="1"/>
    <col min="3855" max="3855" width="1.75" style="59" customWidth="1"/>
    <col min="3856" max="3856" width="4.625" style="59" customWidth="1"/>
    <col min="3857" max="3857" width="8.875" style="59" bestFit="1" customWidth="1"/>
    <col min="3858" max="3860" width="9.875" style="59" customWidth="1"/>
    <col min="3861" max="4096" width="9" style="59"/>
    <col min="4097" max="4097" width="1.125" style="59" customWidth="1"/>
    <col min="4098" max="4098" width="3.875" style="59" customWidth="1"/>
    <col min="4099" max="4099" width="2.625" style="59" customWidth="1"/>
    <col min="4100" max="4100" width="14.625" style="59" customWidth="1"/>
    <col min="4101" max="4101" width="18.625" style="59" customWidth="1"/>
    <col min="4102" max="4109" width="8.625" style="59" customWidth="1"/>
    <col min="4110" max="4110" width="2.25" style="59" customWidth="1"/>
    <col min="4111" max="4111" width="1.75" style="59" customWidth="1"/>
    <col min="4112" max="4112" width="4.625" style="59" customWidth="1"/>
    <col min="4113" max="4113" width="8.875" style="59" bestFit="1" customWidth="1"/>
    <col min="4114" max="4116" width="9.875" style="59" customWidth="1"/>
    <col min="4117" max="4352" width="9" style="59"/>
    <col min="4353" max="4353" width="1.125" style="59" customWidth="1"/>
    <col min="4354" max="4354" width="3.875" style="59" customWidth="1"/>
    <col min="4355" max="4355" width="2.625" style="59" customWidth="1"/>
    <col min="4356" max="4356" width="14.625" style="59" customWidth="1"/>
    <col min="4357" max="4357" width="18.625" style="59" customWidth="1"/>
    <col min="4358" max="4365" width="8.625" style="59" customWidth="1"/>
    <col min="4366" max="4366" width="2.25" style="59" customWidth="1"/>
    <col min="4367" max="4367" width="1.75" style="59" customWidth="1"/>
    <col min="4368" max="4368" width="4.625" style="59" customWidth="1"/>
    <col min="4369" max="4369" width="8.875" style="59" bestFit="1" customWidth="1"/>
    <col min="4370" max="4372" width="9.875" style="59" customWidth="1"/>
    <col min="4373" max="4608" width="9" style="59"/>
    <col min="4609" max="4609" width="1.125" style="59" customWidth="1"/>
    <col min="4610" max="4610" width="3.875" style="59" customWidth="1"/>
    <col min="4611" max="4611" width="2.625" style="59" customWidth="1"/>
    <col min="4612" max="4612" width="14.625" style="59" customWidth="1"/>
    <col min="4613" max="4613" width="18.625" style="59" customWidth="1"/>
    <col min="4614" max="4621" width="8.625" style="59" customWidth="1"/>
    <col min="4622" max="4622" width="2.25" style="59" customWidth="1"/>
    <col min="4623" max="4623" width="1.75" style="59" customWidth="1"/>
    <col min="4624" max="4624" width="4.625" style="59" customWidth="1"/>
    <col min="4625" max="4625" width="8.875" style="59" bestFit="1" customWidth="1"/>
    <col min="4626" max="4628" width="9.875" style="59" customWidth="1"/>
    <col min="4629" max="4864" width="9" style="59"/>
    <col min="4865" max="4865" width="1.125" style="59" customWidth="1"/>
    <col min="4866" max="4866" width="3.875" style="59" customWidth="1"/>
    <col min="4867" max="4867" width="2.625" style="59" customWidth="1"/>
    <col min="4868" max="4868" width="14.625" style="59" customWidth="1"/>
    <col min="4869" max="4869" width="18.625" style="59" customWidth="1"/>
    <col min="4870" max="4877" width="8.625" style="59" customWidth="1"/>
    <col min="4878" max="4878" width="2.25" style="59" customWidth="1"/>
    <col min="4879" max="4879" width="1.75" style="59" customWidth="1"/>
    <col min="4880" max="4880" width="4.625" style="59" customWidth="1"/>
    <col min="4881" max="4881" width="8.875" style="59" bestFit="1" customWidth="1"/>
    <col min="4882" max="4884" width="9.875" style="59" customWidth="1"/>
    <col min="4885" max="5120" width="9" style="59"/>
    <col min="5121" max="5121" width="1.125" style="59" customWidth="1"/>
    <col min="5122" max="5122" width="3.875" style="59" customWidth="1"/>
    <col min="5123" max="5123" width="2.625" style="59" customWidth="1"/>
    <col min="5124" max="5124" width="14.625" style="59" customWidth="1"/>
    <col min="5125" max="5125" width="18.625" style="59" customWidth="1"/>
    <col min="5126" max="5133" width="8.625" style="59" customWidth="1"/>
    <col min="5134" max="5134" width="2.25" style="59" customWidth="1"/>
    <col min="5135" max="5135" width="1.75" style="59" customWidth="1"/>
    <col min="5136" max="5136" width="4.625" style="59" customWidth="1"/>
    <col min="5137" max="5137" width="8.875" style="59" bestFit="1" customWidth="1"/>
    <col min="5138" max="5140" width="9.875" style="59" customWidth="1"/>
    <col min="5141" max="5376" width="9" style="59"/>
    <col min="5377" max="5377" width="1.125" style="59" customWidth="1"/>
    <col min="5378" max="5378" width="3.875" style="59" customWidth="1"/>
    <col min="5379" max="5379" width="2.625" style="59" customWidth="1"/>
    <col min="5380" max="5380" width="14.625" style="59" customWidth="1"/>
    <col min="5381" max="5381" width="18.625" style="59" customWidth="1"/>
    <col min="5382" max="5389" width="8.625" style="59" customWidth="1"/>
    <col min="5390" max="5390" width="2.25" style="59" customWidth="1"/>
    <col min="5391" max="5391" width="1.75" style="59" customWidth="1"/>
    <col min="5392" max="5392" width="4.625" style="59" customWidth="1"/>
    <col min="5393" max="5393" width="8.875" style="59" bestFit="1" customWidth="1"/>
    <col min="5394" max="5396" width="9.875" style="59" customWidth="1"/>
    <col min="5397" max="5632" width="9" style="59"/>
    <col min="5633" max="5633" width="1.125" style="59" customWidth="1"/>
    <col min="5634" max="5634" width="3.875" style="59" customWidth="1"/>
    <col min="5635" max="5635" width="2.625" style="59" customWidth="1"/>
    <col min="5636" max="5636" width="14.625" style="59" customWidth="1"/>
    <col min="5637" max="5637" width="18.625" style="59" customWidth="1"/>
    <col min="5638" max="5645" width="8.625" style="59" customWidth="1"/>
    <col min="5646" max="5646" width="2.25" style="59" customWidth="1"/>
    <col min="5647" max="5647" width="1.75" style="59" customWidth="1"/>
    <col min="5648" max="5648" width="4.625" style="59" customWidth="1"/>
    <col min="5649" max="5649" width="8.875" style="59" bestFit="1" customWidth="1"/>
    <col min="5650" max="5652" width="9.875" style="59" customWidth="1"/>
    <col min="5653" max="5888" width="9" style="59"/>
    <col min="5889" max="5889" width="1.125" style="59" customWidth="1"/>
    <col min="5890" max="5890" width="3.875" style="59" customWidth="1"/>
    <col min="5891" max="5891" width="2.625" style="59" customWidth="1"/>
    <col min="5892" max="5892" width="14.625" style="59" customWidth="1"/>
    <col min="5893" max="5893" width="18.625" style="59" customWidth="1"/>
    <col min="5894" max="5901" width="8.625" style="59" customWidth="1"/>
    <col min="5902" max="5902" width="2.25" style="59" customWidth="1"/>
    <col min="5903" max="5903" width="1.75" style="59" customWidth="1"/>
    <col min="5904" max="5904" width="4.625" style="59" customWidth="1"/>
    <col min="5905" max="5905" width="8.875" style="59" bestFit="1" customWidth="1"/>
    <col min="5906" max="5908" width="9.875" style="59" customWidth="1"/>
    <col min="5909" max="6144" width="9" style="59"/>
    <col min="6145" max="6145" width="1.125" style="59" customWidth="1"/>
    <col min="6146" max="6146" width="3.875" style="59" customWidth="1"/>
    <col min="6147" max="6147" width="2.625" style="59" customWidth="1"/>
    <col min="6148" max="6148" width="14.625" style="59" customWidth="1"/>
    <col min="6149" max="6149" width="18.625" style="59" customWidth="1"/>
    <col min="6150" max="6157" width="8.625" style="59" customWidth="1"/>
    <col min="6158" max="6158" width="2.25" style="59" customWidth="1"/>
    <col min="6159" max="6159" width="1.75" style="59" customWidth="1"/>
    <col min="6160" max="6160" width="4.625" style="59" customWidth="1"/>
    <col min="6161" max="6161" width="8.875" style="59" bestFit="1" customWidth="1"/>
    <col min="6162" max="6164" width="9.875" style="59" customWidth="1"/>
    <col min="6165" max="6400" width="9" style="59"/>
    <col min="6401" max="6401" width="1.125" style="59" customWidth="1"/>
    <col min="6402" max="6402" width="3.875" style="59" customWidth="1"/>
    <col min="6403" max="6403" width="2.625" style="59" customWidth="1"/>
    <col min="6404" max="6404" width="14.625" style="59" customWidth="1"/>
    <col min="6405" max="6405" width="18.625" style="59" customWidth="1"/>
    <col min="6406" max="6413" width="8.625" style="59" customWidth="1"/>
    <col min="6414" max="6414" width="2.25" style="59" customWidth="1"/>
    <col min="6415" max="6415" width="1.75" style="59" customWidth="1"/>
    <col min="6416" max="6416" width="4.625" style="59" customWidth="1"/>
    <col min="6417" max="6417" width="8.875" style="59" bestFit="1" customWidth="1"/>
    <col min="6418" max="6420" width="9.875" style="59" customWidth="1"/>
    <col min="6421" max="6656" width="9" style="59"/>
    <col min="6657" max="6657" width="1.125" style="59" customWidth="1"/>
    <col min="6658" max="6658" width="3.875" style="59" customWidth="1"/>
    <col min="6659" max="6659" width="2.625" style="59" customWidth="1"/>
    <col min="6660" max="6660" width="14.625" style="59" customWidth="1"/>
    <col min="6661" max="6661" width="18.625" style="59" customWidth="1"/>
    <col min="6662" max="6669" width="8.625" style="59" customWidth="1"/>
    <col min="6670" max="6670" width="2.25" style="59" customWidth="1"/>
    <col min="6671" max="6671" width="1.75" style="59" customWidth="1"/>
    <col min="6672" max="6672" width="4.625" style="59" customWidth="1"/>
    <col min="6673" max="6673" width="8.875" style="59" bestFit="1" customWidth="1"/>
    <col min="6674" max="6676" width="9.875" style="59" customWidth="1"/>
    <col min="6677" max="6912" width="9" style="59"/>
    <col min="6913" max="6913" width="1.125" style="59" customWidth="1"/>
    <col min="6914" max="6914" width="3.875" style="59" customWidth="1"/>
    <col min="6915" max="6915" width="2.625" style="59" customWidth="1"/>
    <col min="6916" max="6916" width="14.625" style="59" customWidth="1"/>
    <col min="6917" max="6917" width="18.625" style="59" customWidth="1"/>
    <col min="6918" max="6925" width="8.625" style="59" customWidth="1"/>
    <col min="6926" max="6926" width="2.25" style="59" customWidth="1"/>
    <col min="6927" max="6927" width="1.75" style="59" customWidth="1"/>
    <col min="6928" max="6928" width="4.625" style="59" customWidth="1"/>
    <col min="6929" max="6929" width="8.875" style="59" bestFit="1" customWidth="1"/>
    <col min="6930" max="6932" width="9.875" style="59" customWidth="1"/>
    <col min="6933" max="7168" width="9" style="59"/>
    <col min="7169" max="7169" width="1.125" style="59" customWidth="1"/>
    <col min="7170" max="7170" width="3.875" style="59" customWidth="1"/>
    <col min="7171" max="7171" width="2.625" style="59" customWidth="1"/>
    <col min="7172" max="7172" width="14.625" style="59" customWidth="1"/>
    <col min="7173" max="7173" width="18.625" style="59" customWidth="1"/>
    <col min="7174" max="7181" width="8.625" style="59" customWidth="1"/>
    <col min="7182" max="7182" width="2.25" style="59" customWidth="1"/>
    <col min="7183" max="7183" width="1.75" style="59" customWidth="1"/>
    <col min="7184" max="7184" width="4.625" style="59" customWidth="1"/>
    <col min="7185" max="7185" width="8.875" style="59" bestFit="1" customWidth="1"/>
    <col min="7186" max="7188" width="9.875" style="59" customWidth="1"/>
    <col min="7189" max="7424" width="9" style="59"/>
    <col min="7425" max="7425" width="1.125" style="59" customWidth="1"/>
    <col min="7426" max="7426" width="3.875" style="59" customWidth="1"/>
    <col min="7427" max="7427" width="2.625" style="59" customWidth="1"/>
    <col min="7428" max="7428" width="14.625" style="59" customWidth="1"/>
    <col min="7429" max="7429" width="18.625" style="59" customWidth="1"/>
    <col min="7430" max="7437" width="8.625" style="59" customWidth="1"/>
    <col min="7438" max="7438" width="2.25" style="59" customWidth="1"/>
    <col min="7439" max="7439" width="1.75" style="59" customWidth="1"/>
    <col min="7440" max="7440" width="4.625" style="59" customWidth="1"/>
    <col min="7441" max="7441" width="8.875" style="59" bestFit="1" customWidth="1"/>
    <col min="7442" max="7444" width="9.875" style="59" customWidth="1"/>
    <col min="7445" max="7680" width="9" style="59"/>
    <col min="7681" max="7681" width="1.125" style="59" customWidth="1"/>
    <col min="7682" max="7682" width="3.875" style="59" customWidth="1"/>
    <col min="7683" max="7683" width="2.625" style="59" customWidth="1"/>
    <col min="7684" max="7684" width="14.625" style="59" customWidth="1"/>
    <col min="7685" max="7685" width="18.625" style="59" customWidth="1"/>
    <col min="7686" max="7693" width="8.625" style="59" customWidth="1"/>
    <col min="7694" max="7694" width="2.25" style="59" customWidth="1"/>
    <col min="7695" max="7695" width="1.75" style="59" customWidth="1"/>
    <col min="7696" max="7696" width="4.625" style="59" customWidth="1"/>
    <col min="7697" max="7697" width="8.875" style="59" bestFit="1" customWidth="1"/>
    <col min="7698" max="7700" width="9.875" style="59" customWidth="1"/>
    <col min="7701" max="7936" width="9" style="59"/>
    <col min="7937" max="7937" width="1.125" style="59" customWidth="1"/>
    <col min="7938" max="7938" width="3.875" style="59" customWidth="1"/>
    <col min="7939" max="7939" width="2.625" style="59" customWidth="1"/>
    <col min="7940" max="7940" width="14.625" style="59" customWidth="1"/>
    <col min="7941" max="7941" width="18.625" style="59" customWidth="1"/>
    <col min="7942" max="7949" width="8.625" style="59" customWidth="1"/>
    <col min="7950" max="7950" width="2.25" style="59" customWidth="1"/>
    <col min="7951" max="7951" width="1.75" style="59" customWidth="1"/>
    <col min="7952" max="7952" width="4.625" style="59" customWidth="1"/>
    <col min="7953" max="7953" width="8.875" style="59" bestFit="1" customWidth="1"/>
    <col min="7954" max="7956" width="9.875" style="59" customWidth="1"/>
    <col min="7957" max="8192" width="9" style="59"/>
    <col min="8193" max="8193" width="1.125" style="59" customWidth="1"/>
    <col min="8194" max="8194" width="3.875" style="59" customWidth="1"/>
    <col min="8195" max="8195" width="2.625" style="59" customWidth="1"/>
    <col min="8196" max="8196" width="14.625" style="59" customWidth="1"/>
    <col min="8197" max="8197" width="18.625" style="59" customWidth="1"/>
    <col min="8198" max="8205" width="8.625" style="59" customWidth="1"/>
    <col min="8206" max="8206" width="2.25" style="59" customWidth="1"/>
    <col min="8207" max="8207" width="1.75" style="59" customWidth="1"/>
    <col min="8208" max="8208" width="4.625" style="59" customWidth="1"/>
    <col min="8209" max="8209" width="8.875" style="59" bestFit="1" customWidth="1"/>
    <col min="8210" max="8212" width="9.875" style="59" customWidth="1"/>
    <col min="8213" max="8448" width="9" style="59"/>
    <col min="8449" max="8449" width="1.125" style="59" customWidth="1"/>
    <col min="8450" max="8450" width="3.875" style="59" customWidth="1"/>
    <col min="8451" max="8451" width="2.625" style="59" customWidth="1"/>
    <col min="8452" max="8452" width="14.625" style="59" customWidth="1"/>
    <col min="8453" max="8453" width="18.625" style="59" customWidth="1"/>
    <col min="8454" max="8461" width="8.625" style="59" customWidth="1"/>
    <col min="8462" max="8462" width="2.25" style="59" customWidth="1"/>
    <col min="8463" max="8463" width="1.75" style="59" customWidth="1"/>
    <col min="8464" max="8464" width="4.625" style="59" customWidth="1"/>
    <col min="8465" max="8465" width="8.875" style="59" bestFit="1" customWidth="1"/>
    <col min="8466" max="8468" width="9.875" style="59" customWidth="1"/>
    <col min="8469" max="8704" width="9" style="59"/>
    <col min="8705" max="8705" width="1.125" style="59" customWidth="1"/>
    <col min="8706" max="8706" width="3.875" style="59" customWidth="1"/>
    <col min="8707" max="8707" width="2.625" style="59" customWidth="1"/>
    <col min="8708" max="8708" width="14.625" style="59" customWidth="1"/>
    <col min="8709" max="8709" width="18.625" style="59" customWidth="1"/>
    <col min="8710" max="8717" width="8.625" style="59" customWidth="1"/>
    <col min="8718" max="8718" width="2.25" style="59" customWidth="1"/>
    <col min="8719" max="8719" width="1.75" style="59" customWidth="1"/>
    <col min="8720" max="8720" width="4.625" style="59" customWidth="1"/>
    <col min="8721" max="8721" width="8.875" style="59" bestFit="1" customWidth="1"/>
    <col min="8722" max="8724" width="9.875" style="59" customWidth="1"/>
    <col min="8725" max="8960" width="9" style="59"/>
    <col min="8961" max="8961" width="1.125" style="59" customWidth="1"/>
    <col min="8962" max="8962" width="3.875" style="59" customWidth="1"/>
    <col min="8963" max="8963" width="2.625" style="59" customWidth="1"/>
    <col min="8964" max="8964" width="14.625" style="59" customWidth="1"/>
    <col min="8965" max="8965" width="18.625" style="59" customWidth="1"/>
    <col min="8966" max="8973" width="8.625" style="59" customWidth="1"/>
    <col min="8974" max="8974" width="2.25" style="59" customWidth="1"/>
    <col min="8975" max="8975" width="1.75" style="59" customWidth="1"/>
    <col min="8976" max="8976" width="4.625" style="59" customWidth="1"/>
    <col min="8977" max="8977" width="8.875" style="59" bestFit="1" customWidth="1"/>
    <col min="8978" max="8980" width="9.875" style="59" customWidth="1"/>
    <col min="8981" max="9216" width="9" style="59"/>
    <col min="9217" max="9217" width="1.125" style="59" customWidth="1"/>
    <col min="9218" max="9218" width="3.875" style="59" customWidth="1"/>
    <col min="9219" max="9219" width="2.625" style="59" customWidth="1"/>
    <col min="9220" max="9220" width="14.625" style="59" customWidth="1"/>
    <col min="9221" max="9221" width="18.625" style="59" customWidth="1"/>
    <col min="9222" max="9229" width="8.625" style="59" customWidth="1"/>
    <col min="9230" max="9230" width="2.25" style="59" customWidth="1"/>
    <col min="9231" max="9231" width="1.75" style="59" customWidth="1"/>
    <col min="9232" max="9232" width="4.625" style="59" customWidth="1"/>
    <col min="9233" max="9233" width="8.875" style="59" bestFit="1" customWidth="1"/>
    <col min="9234" max="9236" width="9.875" style="59" customWidth="1"/>
    <col min="9237" max="9472" width="9" style="59"/>
    <col min="9473" max="9473" width="1.125" style="59" customWidth="1"/>
    <col min="9474" max="9474" width="3.875" style="59" customWidth="1"/>
    <col min="9475" max="9475" width="2.625" style="59" customWidth="1"/>
    <col min="9476" max="9476" width="14.625" style="59" customWidth="1"/>
    <col min="9477" max="9477" width="18.625" style="59" customWidth="1"/>
    <col min="9478" max="9485" width="8.625" style="59" customWidth="1"/>
    <col min="9486" max="9486" width="2.25" style="59" customWidth="1"/>
    <col min="9487" max="9487" width="1.75" style="59" customWidth="1"/>
    <col min="9488" max="9488" width="4.625" style="59" customWidth="1"/>
    <col min="9489" max="9489" width="8.875" style="59" bestFit="1" customWidth="1"/>
    <col min="9490" max="9492" width="9.875" style="59" customWidth="1"/>
    <col min="9493" max="9728" width="9" style="59"/>
    <col min="9729" max="9729" width="1.125" style="59" customWidth="1"/>
    <col min="9730" max="9730" width="3.875" style="59" customWidth="1"/>
    <col min="9731" max="9731" width="2.625" style="59" customWidth="1"/>
    <col min="9732" max="9732" width="14.625" style="59" customWidth="1"/>
    <col min="9733" max="9733" width="18.625" style="59" customWidth="1"/>
    <col min="9734" max="9741" width="8.625" style="59" customWidth="1"/>
    <col min="9742" max="9742" width="2.25" style="59" customWidth="1"/>
    <col min="9743" max="9743" width="1.75" style="59" customWidth="1"/>
    <col min="9744" max="9744" width="4.625" style="59" customWidth="1"/>
    <col min="9745" max="9745" width="8.875" style="59" bestFit="1" customWidth="1"/>
    <col min="9746" max="9748" width="9.875" style="59" customWidth="1"/>
    <col min="9749" max="9984" width="9" style="59"/>
    <col min="9985" max="9985" width="1.125" style="59" customWidth="1"/>
    <col min="9986" max="9986" width="3.875" style="59" customWidth="1"/>
    <col min="9987" max="9987" width="2.625" style="59" customWidth="1"/>
    <col min="9988" max="9988" width="14.625" style="59" customWidth="1"/>
    <col min="9989" max="9989" width="18.625" style="59" customWidth="1"/>
    <col min="9990" max="9997" width="8.625" style="59" customWidth="1"/>
    <col min="9998" max="9998" width="2.25" style="59" customWidth="1"/>
    <col min="9999" max="9999" width="1.75" style="59" customWidth="1"/>
    <col min="10000" max="10000" width="4.625" style="59" customWidth="1"/>
    <col min="10001" max="10001" width="8.875" style="59" bestFit="1" customWidth="1"/>
    <col min="10002" max="10004" width="9.875" style="59" customWidth="1"/>
    <col min="10005" max="10240" width="9" style="59"/>
    <col min="10241" max="10241" width="1.125" style="59" customWidth="1"/>
    <col min="10242" max="10242" width="3.875" style="59" customWidth="1"/>
    <col min="10243" max="10243" width="2.625" style="59" customWidth="1"/>
    <col min="10244" max="10244" width="14.625" style="59" customWidth="1"/>
    <col min="10245" max="10245" width="18.625" style="59" customWidth="1"/>
    <col min="10246" max="10253" width="8.625" style="59" customWidth="1"/>
    <col min="10254" max="10254" width="2.25" style="59" customWidth="1"/>
    <col min="10255" max="10255" width="1.75" style="59" customWidth="1"/>
    <col min="10256" max="10256" width="4.625" style="59" customWidth="1"/>
    <col min="10257" max="10257" width="8.875" style="59" bestFit="1" customWidth="1"/>
    <col min="10258" max="10260" width="9.875" style="59" customWidth="1"/>
    <col min="10261" max="10496" width="9" style="59"/>
    <col min="10497" max="10497" width="1.125" style="59" customWidth="1"/>
    <col min="10498" max="10498" width="3.875" style="59" customWidth="1"/>
    <col min="10499" max="10499" width="2.625" style="59" customWidth="1"/>
    <col min="10500" max="10500" width="14.625" style="59" customWidth="1"/>
    <col min="10501" max="10501" width="18.625" style="59" customWidth="1"/>
    <col min="10502" max="10509" width="8.625" style="59" customWidth="1"/>
    <col min="10510" max="10510" width="2.25" style="59" customWidth="1"/>
    <col min="10511" max="10511" width="1.75" style="59" customWidth="1"/>
    <col min="10512" max="10512" width="4.625" style="59" customWidth="1"/>
    <col min="10513" max="10513" width="8.875" style="59" bestFit="1" customWidth="1"/>
    <col min="10514" max="10516" width="9.875" style="59" customWidth="1"/>
    <col min="10517" max="10752" width="9" style="59"/>
    <col min="10753" max="10753" width="1.125" style="59" customWidth="1"/>
    <col min="10754" max="10754" width="3.875" style="59" customWidth="1"/>
    <col min="10755" max="10755" width="2.625" style="59" customWidth="1"/>
    <col min="10756" max="10756" width="14.625" style="59" customWidth="1"/>
    <col min="10757" max="10757" width="18.625" style="59" customWidth="1"/>
    <col min="10758" max="10765" width="8.625" style="59" customWidth="1"/>
    <col min="10766" max="10766" width="2.25" style="59" customWidth="1"/>
    <col min="10767" max="10767" width="1.75" style="59" customWidth="1"/>
    <col min="10768" max="10768" width="4.625" style="59" customWidth="1"/>
    <col min="10769" max="10769" width="8.875" style="59" bestFit="1" customWidth="1"/>
    <col min="10770" max="10772" width="9.875" style="59" customWidth="1"/>
    <col min="10773" max="11008" width="9" style="59"/>
    <col min="11009" max="11009" width="1.125" style="59" customWidth="1"/>
    <col min="11010" max="11010" width="3.875" style="59" customWidth="1"/>
    <col min="11011" max="11011" width="2.625" style="59" customWidth="1"/>
    <col min="11012" max="11012" width="14.625" style="59" customWidth="1"/>
    <col min="11013" max="11013" width="18.625" style="59" customWidth="1"/>
    <col min="11014" max="11021" width="8.625" style="59" customWidth="1"/>
    <col min="11022" max="11022" width="2.25" style="59" customWidth="1"/>
    <col min="11023" max="11023" width="1.75" style="59" customWidth="1"/>
    <col min="11024" max="11024" width="4.625" style="59" customWidth="1"/>
    <col min="11025" max="11025" width="8.875" style="59" bestFit="1" customWidth="1"/>
    <col min="11026" max="11028" width="9.875" style="59" customWidth="1"/>
    <col min="11029" max="11264" width="9" style="59"/>
    <col min="11265" max="11265" width="1.125" style="59" customWidth="1"/>
    <col min="11266" max="11266" width="3.875" style="59" customWidth="1"/>
    <col min="11267" max="11267" width="2.625" style="59" customWidth="1"/>
    <col min="11268" max="11268" width="14.625" style="59" customWidth="1"/>
    <col min="11269" max="11269" width="18.625" style="59" customWidth="1"/>
    <col min="11270" max="11277" width="8.625" style="59" customWidth="1"/>
    <col min="11278" max="11278" width="2.25" style="59" customWidth="1"/>
    <col min="11279" max="11279" width="1.75" style="59" customWidth="1"/>
    <col min="11280" max="11280" width="4.625" style="59" customWidth="1"/>
    <col min="11281" max="11281" width="8.875" style="59" bestFit="1" customWidth="1"/>
    <col min="11282" max="11284" width="9.875" style="59" customWidth="1"/>
    <col min="11285" max="11520" width="9" style="59"/>
    <col min="11521" max="11521" width="1.125" style="59" customWidth="1"/>
    <col min="11522" max="11522" width="3.875" style="59" customWidth="1"/>
    <col min="11523" max="11523" width="2.625" style="59" customWidth="1"/>
    <col min="11524" max="11524" width="14.625" style="59" customWidth="1"/>
    <col min="11525" max="11525" width="18.625" style="59" customWidth="1"/>
    <col min="11526" max="11533" width="8.625" style="59" customWidth="1"/>
    <col min="11534" max="11534" width="2.25" style="59" customWidth="1"/>
    <col min="11535" max="11535" width="1.75" style="59" customWidth="1"/>
    <col min="11536" max="11536" width="4.625" style="59" customWidth="1"/>
    <col min="11537" max="11537" width="8.875" style="59" bestFit="1" customWidth="1"/>
    <col min="11538" max="11540" width="9.875" style="59" customWidth="1"/>
    <col min="11541" max="11776" width="9" style="59"/>
    <col min="11777" max="11777" width="1.125" style="59" customWidth="1"/>
    <col min="11778" max="11778" width="3.875" style="59" customWidth="1"/>
    <col min="11779" max="11779" width="2.625" style="59" customWidth="1"/>
    <col min="11780" max="11780" width="14.625" style="59" customWidth="1"/>
    <col min="11781" max="11781" width="18.625" style="59" customWidth="1"/>
    <col min="11782" max="11789" width="8.625" style="59" customWidth="1"/>
    <col min="11790" max="11790" width="2.25" style="59" customWidth="1"/>
    <col min="11791" max="11791" width="1.75" style="59" customWidth="1"/>
    <col min="11792" max="11792" width="4.625" style="59" customWidth="1"/>
    <col min="11793" max="11793" width="8.875" style="59" bestFit="1" customWidth="1"/>
    <col min="11794" max="11796" width="9.875" style="59" customWidth="1"/>
    <col min="11797" max="12032" width="9" style="59"/>
    <col min="12033" max="12033" width="1.125" style="59" customWidth="1"/>
    <col min="12034" max="12034" width="3.875" style="59" customWidth="1"/>
    <col min="12035" max="12035" width="2.625" style="59" customWidth="1"/>
    <col min="12036" max="12036" width="14.625" style="59" customWidth="1"/>
    <col min="12037" max="12037" width="18.625" style="59" customWidth="1"/>
    <col min="12038" max="12045" width="8.625" style="59" customWidth="1"/>
    <col min="12046" max="12046" width="2.25" style="59" customWidth="1"/>
    <col min="12047" max="12047" width="1.75" style="59" customWidth="1"/>
    <col min="12048" max="12048" width="4.625" style="59" customWidth="1"/>
    <col min="12049" max="12049" width="8.875" style="59" bestFit="1" customWidth="1"/>
    <col min="12050" max="12052" width="9.875" style="59" customWidth="1"/>
    <col min="12053" max="12288" width="9" style="59"/>
    <col min="12289" max="12289" width="1.125" style="59" customWidth="1"/>
    <col min="12290" max="12290" width="3.875" style="59" customWidth="1"/>
    <col min="12291" max="12291" width="2.625" style="59" customWidth="1"/>
    <col min="12292" max="12292" width="14.625" style="59" customWidth="1"/>
    <col min="12293" max="12293" width="18.625" style="59" customWidth="1"/>
    <col min="12294" max="12301" width="8.625" style="59" customWidth="1"/>
    <col min="12302" max="12302" width="2.25" style="59" customWidth="1"/>
    <col min="12303" max="12303" width="1.75" style="59" customWidth="1"/>
    <col min="12304" max="12304" width="4.625" style="59" customWidth="1"/>
    <col min="12305" max="12305" width="8.875" style="59" bestFit="1" customWidth="1"/>
    <col min="12306" max="12308" width="9.875" style="59" customWidth="1"/>
    <col min="12309" max="12544" width="9" style="59"/>
    <col min="12545" max="12545" width="1.125" style="59" customWidth="1"/>
    <col min="12546" max="12546" width="3.875" style="59" customWidth="1"/>
    <col min="12547" max="12547" width="2.625" style="59" customWidth="1"/>
    <col min="12548" max="12548" width="14.625" style="59" customWidth="1"/>
    <col min="12549" max="12549" width="18.625" style="59" customWidth="1"/>
    <col min="12550" max="12557" width="8.625" style="59" customWidth="1"/>
    <col min="12558" max="12558" width="2.25" style="59" customWidth="1"/>
    <col min="12559" max="12559" width="1.75" style="59" customWidth="1"/>
    <col min="12560" max="12560" width="4.625" style="59" customWidth="1"/>
    <col min="12561" max="12561" width="8.875" style="59" bestFit="1" customWidth="1"/>
    <col min="12562" max="12564" width="9.875" style="59" customWidth="1"/>
    <col min="12565" max="12800" width="9" style="59"/>
    <col min="12801" max="12801" width="1.125" style="59" customWidth="1"/>
    <col min="12802" max="12802" width="3.875" style="59" customWidth="1"/>
    <col min="12803" max="12803" width="2.625" style="59" customWidth="1"/>
    <col min="12804" max="12804" width="14.625" style="59" customWidth="1"/>
    <col min="12805" max="12805" width="18.625" style="59" customWidth="1"/>
    <col min="12806" max="12813" width="8.625" style="59" customWidth="1"/>
    <col min="12814" max="12814" width="2.25" style="59" customWidth="1"/>
    <col min="12815" max="12815" width="1.75" style="59" customWidth="1"/>
    <col min="12816" max="12816" width="4.625" style="59" customWidth="1"/>
    <col min="12817" max="12817" width="8.875" style="59" bestFit="1" customWidth="1"/>
    <col min="12818" max="12820" width="9.875" style="59" customWidth="1"/>
    <col min="12821" max="13056" width="9" style="59"/>
    <col min="13057" max="13057" width="1.125" style="59" customWidth="1"/>
    <col min="13058" max="13058" width="3.875" style="59" customWidth="1"/>
    <col min="13059" max="13059" width="2.625" style="59" customWidth="1"/>
    <col min="13060" max="13060" width="14.625" style="59" customWidth="1"/>
    <col min="13061" max="13061" width="18.625" style="59" customWidth="1"/>
    <col min="13062" max="13069" width="8.625" style="59" customWidth="1"/>
    <col min="13070" max="13070" width="2.25" style="59" customWidth="1"/>
    <col min="13071" max="13071" width="1.75" style="59" customWidth="1"/>
    <col min="13072" max="13072" width="4.625" style="59" customWidth="1"/>
    <col min="13073" max="13073" width="8.875" style="59" bestFit="1" customWidth="1"/>
    <col min="13074" max="13076" width="9.875" style="59" customWidth="1"/>
    <col min="13077" max="13312" width="9" style="59"/>
    <col min="13313" max="13313" width="1.125" style="59" customWidth="1"/>
    <col min="13314" max="13314" width="3.875" style="59" customWidth="1"/>
    <col min="13315" max="13315" width="2.625" style="59" customWidth="1"/>
    <col min="13316" max="13316" width="14.625" style="59" customWidth="1"/>
    <col min="13317" max="13317" width="18.625" style="59" customWidth="1"/>
    <col min="13318" max="13325" width="8.625" style="59" customWidth="1"/>
    <col min="13326" max="13326" width="2.25" style="59" customWidth="1"/>
    <col min="13327" max="13327" width="1.75" style="59" customWidth="1"/>
    <col min="13328" max="13328" width="4.625" style="59" customWidth="1"/>
    <col min="13329" max="13329" width="8.875" style="59" bestFit="1" customWidth="1"/>
    <col min="13330" max="13332" width="9.875" style="59" customWidth="1"/>
    <col min="13333" max="13568" width="9" style="59"/>
    <col min="13569" max="13569" width="1.125" style="59" customWidth="1"/>
    <col min="13570" max="13570" width="3.875" style="59" customWidth="1"/>
    <col min="13571" max="13571" width="2.625" style="59" customWidth="1"/>
    <col min="13572" max="13572" width="14.625" style="59" customWidth="1"/>
    <col min="13573" max="13573" width="18.625" style="59" customWidth="1"/>
    <col min="13574" max="13581" width="8.625" style="59" customWidth="1"/>
    <col min="13582" max="13582" width="2.25" style="59" customWidth="1"/>
    <col min="13583" max="13583" width="1.75" style="59" customWidth="1"/>
    <col min="13584" max="13584" width="4.625" style="59" customWidth="1"/>
    <col min="13585" max="13585" width="8.875" style="59" bestFit="1" customWidth="1"/>
    <col min="13586" max="13588" width="9.875" style="59" customWidth="1"/>
    <col min="13589" max="13824" width="9" style="59"/>
    <col min="13825" max="13825" width="1.125" style="59" customWidth="1"/>
    <col min="13826" max="13826" width="3.875" style="59" customWidth="1"/>
    <col min="13827" max="13827" width="2.625" style="59" customWidth="1"/>
    <col min="13828" max="13828" width="14.625" style="59" customWidth="1"/>
    <col min="13829" max="13829" width="18.625" style="59" customWidth="1"/>
    <col min="13830" max="13837" width="8.625" style="59" customWidth="1"/>
    <col min="13838" max="13838" width="2.25" style="59" customWidth="1"/>
    <col min="13839" max="13839" width="1.75" style="59" customWidth="1"/>
    <col min="13840" max="13840" width="4.625" style="59" customWidth="1"/>
    <col min="13841" max="13841" width="8.875" style="59" bestFit="1" customWidth="1"/>
    <col min="13842" max="13844" width="9.875" style="59" customWidth="1"/>
    <col min="13845" max="14080" width="9" style="59"/>
    <col min="14081" max="14081" width="1.125" style="59" customWidth="1"/>
    <col min="14082" max="14082" width="3.875" style="59" customWidth="1"/>
    <col min="14083" max="14083" width="2.625" style="59" customWidth="1"/>
    <col min="14084" max="14084" width="14.625" style="59" customWidth="1"/>
    <col min="14085" max="14085" width="18.625" style="59" customWidth="1"/>
    <col min="14086" max="14093" width="8.625" style="59" customWidth="1"/>
    <col min="14094" max="14094" width="2.25" style="59" customWidth="1"/>
    <col min="14095" max="14095" width="1.75" style="59" customWidth="1"/>
    <col min="14096" max="14096" width="4.625" style="59" customWidth="1"/>
    <col min="14097" max="14097" width="8.875" style="59" bestFit="1" customWidth="1"/>
    <col min="14098" max="14100" width="9.875" style="59" customWidth="1"/>
    <col min="14101" max="14336" width="9" style="59"/>
    <col min="14337" max="14337" width="1.125" style="59" customWidth="1"/>
    <col min="14338" max="14338" width="3.875" style="59" customWidth="1"/>
    <col min="14339" max="14339" width="2.625" style="59" customWidth="1"/>
    <col min="14340" max="14340" width="14.625" style="59" customWidth="1"/>
    <col min="14341" max="14341" width="18.625" style="59" customWidth="1"/>
    <col min="14342" max="14349" width="8.625" style="59" customWidth="1"/>
    <col min="14350" max="14350" width="2.25" style="59" customWidth="1"/>
    <col min="14351" max="14351" width="1.75" style="59" customWidth="1"/>
    <col min="14352" max="14352" width="4.625" style="59" customWidth="1"/>
    <col min="14353" max="14353" width="8.875" style="59" bestFit="1" customWidth="1"/>
    <col min="14354" max="14356" width="9.875" style="59" customWidth="1"/>
    <col min="14357" max="14592" width="9" style="59"/>
    <col min="14593" max="14593" width="1.125" style="59" customWidth="1"/>
    <col min="14594" max="14594" width="3.875" style="59" customWidth="1"/>
    <col min="14595" max="14595" width="2.625" style="59" customWidth="1"/>
    <col min="14596" max="14596" width="14.625" style="59" customWidth="1"/>
    <col min="14597" max="14597" width="18.625" style="59" customWidth="1"/>
    <col min="14598" max="14605" width="8.625" style="59" customWidth="1"/>
    <col min="14606" max="14606" width="2.25" style="59" customWidth="1"/>
    <col min="14607" max="14607" width="1.75" style="59" customWidth="1"/>
    <col min="14608" max="14608" width="4.625" style="59" customWidth="1"/>
    <col min="14609" max="14609" width="8.875" style="59" bestFit="1" customWidth="1"/>
    <col min="14610" max="14612" width="9.875" style="59" customWidth="1"/>
    <col min="14613" max="14848" width="9" style="59"/>
    <col min="14849" max="14849" width="1.125" style="59" customWidth="1"/>
    <col min="14850" max="14850" width="3.875" style="59" customWidth="1"/>
    <col min="14851" max="14851" width="2.625" style="59" customWidth="1"/>
    <col min="14852" max="14852" width="14.625" style="59" customWidth="1"/>
    <col min="14853" max="14853" width="18.625" style="59" customWidth="1"/>
    <col min="14854" max="14861" width="8.625" style="59" customWidth="1"/>
    <col min="14862" max="14862" width="2.25" style="59" customWidth="1"/>
    <col min="14863" max="14863" width="1.75" style="59" customWidth="1"/>
    <col min="14864" max="14864" width="4.625" style="59" customWidth="1"/>
    <col min="14865" max="14865" width="8.875" style="59" bestFit="1" customWidth="1"/>
    <col min="14866" max="14868" width="9.875" style="59" customWidth="1"/>
    <col min="14869" max="15104" width="9" style="59"/>
    <col min="15105" max="15105" width="1.125" style="59" customWidth="1"/>
    <col min="15106" max="15106" width="3.875" style="59" customWidth="1"/>
    <col min="15107" max="15107" width="2.625" style="59" customWidth="1"/>
    <col min="15108" max="15108" width="14.625" style="59" customWidth="1"/>
    <col min="15109" max="15109" width="18.625" style="59" customWidth="1"/>
    <col min="15110" max="15117" width="8.625" style="59" customWidth="1"/>
    <col min="15118" max="15118" width="2.25" style="59" customWidth="1"/>
    <col min="15119" max="15119" width="1.75" style="59" customWidth="1"/>
    <col min="15120" max="15120" width="4.625" style="59" customWidth="1"/>
    <col min="15121" max="15121" width="8.875" style="59" bestFit="1" customWidth="1"/>
    <col min="15122" max="15124" width="9.875" style="59" customWidth="1"/>
    <col min="15125" max="15360" width="9" style="59"/>
    <col min="15361" max="15361" width="1.125" style="59" customWidth="1"/>
    <col min="15362" max="15362" width="3.875" style="59" customWidth="1"/>
    <col min="15363" max="15363" width="2.625" style="59" customWidth="1"/>
    <col min="15364" max="15364" width="14.625" style="59" customWidth="1"/>
    <col min="15365" max="15365" width="18.625" style="59" customWidth="1"/>
    <col min="15366" max="15373" width="8.625" style="59" customWidth="1"/>
    <col min="15374" max="15374" width="2.25" style="59" customWidth="1"/>
    <col min="15375" max="15375" width="1.75" style="59" customWidth="1"/>
    <col min="15376" max="15376" width="4.625" style="59" customWidth="1"/>
    <col min="15377" max="15377" width="8.875" style="59" bestFit="1" customWidth="1"/>
    <col min="15378" max="15380" width="9.875" style="59" customWidth="1"/>
    <col min="15381" max="15616" width="9" style="59"/>
    <col min="15617" max="15617" width="1.125" style="59" customWidth="1"/>
    <col min="15618" max="15618" width="3.875" style="59" customWidth="1"/>
    <col min="15619" max="15619" width="2.625" style="59" customWidth="1"/>
    <col min="15620" max="15620" width="14.625" style="59" customWidth="1"/>
    <col min="15621" max="15621" width="18.625" style="59" customWidth="1"/>
    <col min="15622" max="15629" width="8.625" style="59" customWidth="1"/>
    <col min="15630" max="15630" width="2.25" style="59" customWidth="1"/>
    <col min="15631" max="15631" width="1.75" style="59" customWidth="1"/>
    <col min="15632" max="15632" width="4.625" style="59" customWidth="1"/>
    <col min="15633" max="15633" width="8.875" style="59" bestFit="1" customWidth="1"/>
    <col min="15634" max="15636" width="9.875" style="59" customWidth="1"/>
    <col min="15637" max="15872" width="9" style="59"/>
    <col min="15873" max="15873" width="1.125" style="59" customWidth="1"/>
    <col min="15874" max="15874" width="3.875" style="59" customWidth="1"/>
    <col min="15875" max="15875" width="2.625" style="59" customWidth="1"/>
    <col min="15876" max="15876" width="14.625" style="59" customWidth="1"/>
    <col min="15877" max="15877" width="18.625" style="59" customWidth="1"/>
    <col min="15878" max="15885" width="8.625" style="59" customWidth="1"/>
    <col min="15886" max="15886" width="2.25" style="59" customWidth="1"/>
    <col min="15887" max="15887" width="1.75" style="59" customWidth="1"/>
    <col min="15888" max="15888" width="4.625" style="59" customWidth="1"/>
    <col min="15889" max="15889" width="8.875" style="59" bestFit="1" customWidth="1"/>
    <col min="15890" max="15892" width="9.875" style="59" customWidth="1"/>
    <col min="15893" max="16128" width="9" style="59"/>
    <col min="16129" max="16129" width="1.125" style="59" customWidth="1"/>
    <col min="16130" max="16130" width="3.875" style="59" customWidth="1"/>
    <col min="16131" max="16131" width="2.625" style="59" customWidth="1"/>
    <col min="16132" max="16132" width="14.625" style="59" customWidth="1"/>
    <col min="16133" max="16133" width="18.625" style="59" customWidth="1"/>
    <col min="16134" max="16141" width="8.625" style="59" customWidth="1"/>
    <col min="16142" max="16142" width="2.25" style="59" customWidth="1"/>
    <col min="16143" max="16143" width="1.75" style="59" customWidth="1"/>
    <col min="16144" max="16144" width="4.625" style="59" customWidth="1"/>
    <col min="16145" max="16145" width="8.875" style="59" bestFit="1" customWidth="1"/>
    <col min="16146" max="16148" width="9.875" style="59" customWidth="1"/>
    <col min="16149" max="16384" width="9" style="59"/>
  </cols>
  <sheetData>
    <row r="1" spans="1:27" ht="18" customHeight="1"/>
    <row r="2" spans="1:27" ht="3.7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1"/>
      <c r="Q2" s="61"/>
      <c r="R2" s="61"/>
      <c r="S2" s="61"/>
      <c r="T2" s="61"/>
    </row>
    <row r="3" spans="1:27" ht="9.9499999999999993" customHeight="1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4"/>
      <c r="P3" s="61"/>
      <c r="Q3" s="61"/>
      <c r="R3" s="61"/>
      <c r="S3" s="61"/>
      <c r="T3" s="61"/>
    </row>
    <row r="4" spans="1:27" ht="20.100000000000001" customHeight="1">
      <c r="A4" s="65"/>
      <c r="B4" s="61"/>
      <c r="C4" s="61"/>
      <c r="D4" s="61"/>
      <c r="E4" s="61"/>
      <c r="F4" s="61"/>
      <c r="G4" s="61"/>
      <c r="H4" s="61"/>
      <c r="I4" s="66" t="s">
        <v>274</v>
      </c>
      <c r="J4" s="66"/>
      <c r="K4" s="67"/>
      <c r="L4" s="191"/>
      <c r="M4" s="191"/>
      <c r="N4" s="68"/>
      <c r="O4" s="69"/>
      <c r="P4" s="61"/>
      <c r="Q4" s="70"/>
      <c r="R4" s="61"/>
      <c r="S4" s="61"/>
      <c r="T4" s="61"/>
      <c r="AA4" s="236" t="s">
        <v>351</v>
      </c>
    </row>
    <row r="5" spans="1:27" ht="20.100000000000001" customHeight="1">
      <c r="A5" s="65"/>
      <c r="B5" s="284" t="s">
        <v>275</v>
      </c>
      <c r="C5" s="71"/>
      <c r="D5" s="63"/>
      <c r="E5" s="63"/>
      <c r="F5" s="64"/>
      <c r="G5" s="61"/>
      <c r="H5" s="61"/>
      <c r="I5" s="66" t="s">
        <v>276</v>
      </c>
      <c r="J5" s="287">
        <v>44308</v>
      </c>
      <c r="K5" s="288"/>
      <c r="L5" s="288"/>
      <c r="M5" s="190"/>
      <c r="N5" s="72"/>
      <c r="O5" s="69"/>
      <c r="P5" s="61"/>
      <c r="Q5" s="70"/>
      <c r="R5" s="61"/>
      <c r="S5" s="61"/>
      <c r="T5" s="61"/>
      <c r="AA5" s="236" t="s">
        <v>352</v>
      </c>
    </row>
    <row r="6" spans="1:27" ht="20.100000000000001" customHeight="1">
      <c r="A6" s="65"/>
      <c r="B6" s="285"/>
      <c r="C6" s="153" t="s">
        <v>277</v>
      </c>
      <c r="D6" s="152"/>
      <c r="E6" s="61"/>
      <c r="F6" s="69"/>
      <c r="G6" s="61"/>
      <c r="H6" s="61"/>
      <c r="I6" s="66" t="s">
        <v>278</v>
      </c>
      <c r="J6" s="289" t="s">
        <v>279</v>
      </c>
      <c r="K6" s="290"/>
      <c r="L6" s="290"/>
      <c r="M6" s="290"/>
      <c r="N6" s="291"/>
      <c r="O6" s="69"/>
      <c r="P6" s="61"/>
      <c r="Q6" s="61"/>
      <c r="R6" s="61"/>
      <c r="S6" s="61"/>
      <c r="T6" s="61"/>
    </row>
    <row r="7" spans="1:27" ht="8.25" customHeight="1">
      <c r="A7" s="65"/>
      <c r="B7" s="286"/>
      <c r="C7" s="60"/>
      <c r="D7" s="60"/>
      <c r="E7" s="60"/>
      <c r="F7" s="73"/>
      <c r="G7" s="61"/>
      <c r="H7" s="61"/>
      <c r="I7" s="61"/>
      <c r="J7" s="61"/>
      <c r="K7" s="61"/>
      <c r="L7" s="61"/>
      <c r="M7" s="61"/>
      <c r="N7" s="61"/>
      <c r="O7" s="69"/>
      <c r="P7" s="61"/>
      <c r="Q7" s="61"/>
      <c r="R7" s="61"/>
      <c r="S7" s="61"/>
      <c r="T7" s="61"/>
    </row>
    <row r="8" spans="1:27">
      <c r="A8" s="65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9"/>
      <c r="P8" s="61"/>
      <c r="Q8" s="61"/>
      <c r="R8" s="61"/>
      <c r="S8" s="61"/>
      <c r="T8" s="61"/>
    </row>
    <row r="9" spans="1:27" ht="20.100000000000001" customHeight="1">
      <c r="A9" s="65"/>
      <c r="B9" s="284" t="s">
        <v>280</v>
      </c>
      <c r="C9" s="74" t="s">
        <v>281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64"/>
      <c r="O9" s="69"/>
      <c r="P9" s="61"/>
      <c r="Q9" s="61"/>
      <c r="R9" s="61"/>
      <c r="S9" s="61"/>
      <c r="T9" s="61"/>
    </row>
    <row r="10" spans="1:27" ht="20.100000000000001" customHeight="1">
      <c r="A10" s="65"/>
      <c r="B10" s="286"/>
      <c r="C10" s="76"/>
      <c r="D10" s="77"/>
      <c r="E10" s="77"/>
      <c r="F10" s="77"/>
      <c r="G10" s="77"/>
      <c r="H10" s="77"/>
      <c r="I10" s="77"/>
      <c r="J10" s="77"/>
      <c r="K10" s="77"/>
      <c r="L10" s="77"/>
      <c r="M10" s="78" t="s">
        <v>282</v>
      </c>
      <c r="N10" s="73"/>
      <c r="O10" s="69"/>
      <c r="P10" s="61"/>
      <c r="Q10" s="61"/>
      <c r="R10" s="61"/>
      <c r="S10" s="61"/>
      <c r="T10" s="61"/>
    </row>
    <row r="11" spans="1:27">
      <c r="A11" s="65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9"/>
      <c r="P11" s="61"/>
      <c r="Q11" s="61"/>
      <c r="R11" s="61"/>
      <c r="S11" s="61"/>
      <c r="T11" s="61"/>
    </row>
    <row r="12" spans="1:27" ht="6" customHeight="1">
      <c r="A12" s="65"/>
      <c r="B12" s="292" t="s">
        <v>283</v>
      </c>
      <c r="C12" s="79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64"/>
      <c r="O12" s="69"/>
      <c r="P12" s="61"/>
      <c r="Q12" s="61"/>
      <c r="R12" s="61"/>
      <c r="S12" s="61"/>
      <c r="T12" s="61"/>
    </row>
    <row r="13" spans="1:27" ht="20.100000000000001" customHeight="1">
      <c r="A13" s="65"/>
      <c r="B13" s="293"/>
      <c r="C13" s="81" t="s">
        <v>335</v>
      </c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69"/>
      <c r="O13" s="69"/>
      <c r="P13" s="61"/>
      <c r="Q13" s="61"/>
      <c r="R13" s="61"/>
      <c r="S13" s="61"/>
      <c r="T13" s="61"/>
    </row>
    <row r="14" spans="1:27" ht="20.100000000000001" customHeight="1">
      <c r="A14" s="65"/>
      <c r="B14" s="294"/>
      <c r="C14" s="295" t="s">
        <v>341</v>
      </c>
      <c r="D14" s="296"/>
      <c r="E14" s="296"/>
      <c r="F14" s="296"/>
      <c r="G14" s="296"/>
      <c r="H14" s="296"/>
      <c r="I14" s="296"/>
      <c r="J14" s="296"/>
      <c r="K14" s="296"/>
      <c r="L14" s="296"/>
      <c r="M14" s="192"/>
      <c r="N14" s="73"/>
      <c r="O14" s="69"/>
      <c r="P14" s="61"/>
      <c r="Q14" s="297"/>
      <c r="R14" s="297"/>
      <c r="S14" s="297"/>
      <c r="T14" s="297"/>
      <c r="U14" s="297"/>
      <c r="V14" s="297"/>
      <c r="W14" s="297"/>
      <c r="X14" s="297"/>
      <c r="Y14" s="297"/>
      <c r="Z14" s="297"/>
    </row>
    <row r="15" spans="1:27">
      <c r="A15" s="65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9"/>
      <c r="P15" s="61"/>
      <c r="Q15" s="61"/>
      <c r="R15" s="61"/>
      <c r="S15" s="61"/>
      <c r="T15" s="61"/>
    </row>
    <row r="16" spans="1:27" ht="18" customHeight="1">
      <c r="A16" s="65"/>
      <c r="B16" s="298" t="s">
        <v>284</v>
      </c>
      <c r="C16" s="8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84" t="s">
        <v>285</v>
      </c>
      <c r="O16" s="69"/>
      <c r="P16" s="61"/>
      <c r="Q16" s="61"/>
      <c r="R16" s="61"/>
      <c r="S16" s="61"/>
      <c r="T16" s="61"/>
    </row>
    <row r="17" spans="1:22" ht="18" customHeight="1">
      <c r="A17" s="65"/>
      <c r="B17" s="299"/>
      <c r="C17" s="91" t="s">
        <v>342</v>
      </c>
      <c r="D17" s="61"/>
      <c r="E17" s="61"/>
      <c r="F17" s="86"/>
      <c r="G17" s="86"/>
      <c r="H17" s="87"/>
      <c r="I17" s="87"/>
      <c r="J17" s="87"/>
      <c r="K17" s="87"/>
      <c r="L17" s="88"/>
      <c r="M17" s="88"/>
      <c r="N17" s="69"/>
      <c r="O17" s="69"/>
      <c r="P17" s="61"/>
      <c r="Q17" s="61"/>
      <c r="R17" s="61"/>
      <c r="S17" s="61"/>
      <c r="T17" s="61"/>
      <c r="U17" s="89"/>
      <c r="V17" s="90"/>
    </row>
    <row r="18" spans="1:22" ht="18" customHeight="1">
      <c r="A18" s="65"/>
      <c r="B18" s="299"/>
      <c r="C18" s="91"/>
      <c r="D18" s="61"/>
      <c r="E18" s="61"/>
      <c r="F18" s="86"/>
      <c r="G18" s="86"/>
      <c r="H18" s="87"/>
      <c r="I18" s="87"/>
      <c r="J18" s="87"/>
      <c r="K18" s="87"/>
      <c r="L18" s="88"/>
      <c r="M18" s="88"/>
      <c r="N18" s="69"/>
      <c r="O18" s="69"/>
      <c r="P18" s="61"/>
      <c r="Q18" s="61"/>
      <c r="R18" s="61"/>
      <c r="S18" s="61"/>
      <c r="T18" s="61"/>
      <c r="U18" s="89"/>
      <c r="V18" s="90"/>
    </row>
    <row r="19" spans="1:22" ht="18" customHeight="1">
      <c r="A19" s="65"/>
      <c r="B19" s="299"/>
      <c r="C19" s="91"/>
      <c r="D19" s="61" t="s">
        <v>286</v>
      </c>
      <c r="E19" s="91"/>
      <c r="F19" s="61"/>
      <c r="G19" s="61"/>
      <c r="H19" s="61"/>
      <c r="I19" s="61"/>
      <c r="J19" s="61"/>
      <c r="K19" s="61"/>
      <c r="L19" s="61"/>
      <c r="M19" s="61"/>
      <c r="N19" s="69"/>
      <c r="O19" s="69"/>
      <c r="P19" s="61"/>
      <c r="Q19" s="61"/>
      <c r="R19" s="61" t="s">
        <v>287</v>
      </c>
      <c r="S19" s="61"/>
      <c r="T19" s="61" t="s">
        <v>288</v>
      </c>
      <c r="U19" s="89"/>
      <c r="V19" s="90"/>
    </row>
    <row r="20" spans="1:22" ht="18" customHeight="1">
      <c r="A20" s="65"/>
      <c r="B20" s="299"/>
      <c r="C20" s="61"/>
      <c r="D20" s="301" t="s">
        <v>289</v>
      </c>
      <c r="E20" s="302"/>
      <c r="F20" s="303" t="s">
        <v>290</v>
      </c>
      <c r="G20" s="302"/>
      <c r="H20" s="303" t="s">
        <v>291</v>
      </c>
      <c r="I20" s="302"/>
      <c r="N20" s="69"/>
      <c r="O20" s="69"/>
      <c r="P20" s="61"/>
      <c r="Q20" s="61"/>
      <c r="R20" s="254" t="s">
        <v>292</v>
      </c>
      <c r="S20" s="255"/>
      <c r="T20" s="254" t="s">
        <v>293</v>
      </c>
      <c r="U20" s="255"/>
      <c r="V20" s="90"/>
    </row>
    <row r="21" spans="1:22" ht="18" customHeight="1">
      <c r="A21" s="65"/>
      <c r="B21" s="299"/>
      <c r="C21" s="61"/>
      <c r="D21" s="304" t="s">
        <v>294</v>
      </c>
      <c r="E21" s="305"/>
      <c r="F21" s="275">
        <f>'73, IEC62552 2007'!K9</f>
        <v>206.9</v>
      </c>
      <c r="G21" s="276"/>
      <c r="H21" s="329">
        <f>ROUND(F21,0)</f>
        <v>207</v>
      </c>
      <c r="I21" s="330"/>
      <c r="N21" s="69"/>
      <c r="O21" s="69"/>
      <c r="P21" s="61"/>
      <c r="Q21" s="61" t="s">
        <v>295</v>
      </c>
      <c r="R21" s="275">
        <f>F21-H21</f>
        <v>-9.9999999999994316E-2</v>
      </c>
      <c r="S21" s="276"/>
      <c r="T21" s="252">
        <f>F21/H21</f>
        <v>0.99951690821256045</v>
      </c>
      <c r="U21" s="253"/>
      <c r="V21" s="90"/>
    </row>
    <row r="22" spans="1:22" ht="18" customHeight="1">
      <c r="A22" s="65"/>
      <c r="B22" s="299"/>
      <c r="C22" s="61"/>
      <c r="D22" s="308" t="s">
        <v>296</v>
      </c>
      <c r="E22" s="309"/>
      <c r="F22" s="310">
        <f>'73, IEC62552 2007'!K10</f>
        <v>393.9</v>
      </c>
      <c r="G22" s="311"/>
      <c r="H22" s="331">
        <f>ROUND(F22,0)</f>
        <v>394</v>
      </c>
      <c r="I22" s="332"/>
      <c r="N22" s="69"/>
      <c r="O22" s="69"/>
      <c r="P22" s="61"/>
      <c r="Q22" s="61" t="s">
        <v>297</v>
      </c>
      <c r="R22" s="333">
        <f>F22-H22</f>
        <v>-0.10000000000002274</v>
      </c>
      <c r="S22" s="334"/>
      <c r="T22" s="335">
        <f>F22/H22</f>
        <v>0.99974619289340094</v>
      </c>
      <c r="U22" s="336"/>
      <c r="V22" s="90"/>
    </row>
    <row r="23" spans="1:22" ht="18" customHeight="1">
      <c r="A23" s="65"/>
      <c r="B23" s="299"/>
      <c r="C23" s="61"/>
      <c r="D23" s="66" t="s">
        <v>298</v>
      </c>
      <c r="E23" s="67"/>
      <c r="F23" s="254"/>
      <c r="G23" s="255"/>
      <c r="H23" s="281">
        <f>H21+H22</f>
        <v>601</v>
      </c>
      <c r="I23" s="282"/>
      <c r="N23" s="69"/>
      <c r="O23" s="69"/>
      <c r="P23" s="61"/>
      <c r="Q23" s="61" t="s">
        <v>41</v>
      </c>
      <c r="R23" s="271">
        <f>F21+F22-H23</f>
        <v>-0.20000000000004547</v>
      </c>
      <c r="S23" s="272"/>
      <c r="T23" s="273">
        <f>(F21+F22)/H23</f>
        <v>0.99966722129783692</v>
      </c>
      <c r="U23" s="274"/>
      <c r="V23" s="90"/>
    </row>
    <row r="24" spans="1:22" ht="18" customHeight="1">
      <c r="A24" s="65"/>
      <c r="B24" s="299"/>
      <c r="C24" s="91"/>
      <c r="D24" s="91"/>
      <c r="E24" s="91"/>
      <c r="F24" s="61"/>
      <c r="G24" s="61"/>
      <c r="H24" s="61"/>
      <c r="I24" s="61"/>
      <c r="J24" s="61"/>
      <c r="K24" s="61"/>
      <c r="L24" s="61"/>
      <c r="M24" s="235"/>
      <c r="N24" s="69"/>
      <c r="O24" s="69"/>
      <c r="P24" s="61"/>
      <c r="Q24" s="61"/>
      <c r="R24" s="61"/>
      <c r="S24" s="61"/>
      <c r="T24" s="61"/>
      <c r="V24" s="90"/>
    </row>
    <row r="25" spans="1:22" ht="18" customHeight="1">
      <c r="A25" s="65"/>
      <c r="B25" s="299"/>
      <c r="C25" s="61"/>
      <c r="D25" s="266" t="s">
        <v>50</v>
      </c>
      <c r="E25" s="266"/>
      <c r="F25" s="251"/>
      <c r="G25" s="251"/>
      <c r="H25" s="251"/>
      <c r="I25" s="251"/>
      <c r="J25" s="251"/>
      <c r="K25" s="251"/>
      <c r="L25" s="251"/>
      <c r="M25" s="251"/>
      <c r="N25" s="69"/>
      <c r="O25" s="69"/>
      <c r="P25" s="61"/>
      <c r="Q25" s="61"/>
      <c r="R25" s="61" t="s">
        <v>287</v>
      </c>
      <c r="S25" s="61"/>
      <c r="T25" s="61" t="s">
        <v>299</v>
      </c>
      <c r="U25" s="89"/>
      <c r="V25" s="90"/>
    </row>
    <row r="26" spans="1:22" ht="18" customHeight="1">
      <c r="A26" s="65"/>
      <c r="B26" s="299"/>
      <c r="C26" s="61"/>
      <c r="D26" s="301" t="s">
        <v>289</v>
      </c>
      <c r="E26" s="302"/>
      <c r="F26" s="303" t="s">
        <v>290</v>
      </c>
      <c r="G26" s="302"/>
      <c r="H26" s="303" t="s">
        <v>291</v>
      </c>
      <c r="I26" s="302"/>
      <c r="J26" s="245"/>
      <c r="K26" s="245"/>
      <c r="L26" s="337"/>
      <c r="M26" s="337"/>
      <c r="N26" s="92"/>
      <c r="O26" s="69"/>
      <c r="P26" s="61"/>
      <c r="Q26" s="61"/>
      <c r="R26" s="254" t="s">
        <v>292</v>
      </c>
      <c r="S26" s="255"/>
      <c r="T26" s="254" t="s">
        <v>300</v>
      </c>
      <c r="U26" s="255"/>
      <c r="V26" s="90"/>
    </row>
    <row r="27" spans="1:22" ht="18" customHeight="1">
      <c r="A27" s="65"/>
      <c r="B27" s="299"/>
      <c r="C27" s="61"/>
      <c r="D27" s="304" t="s">
        <v>294</v>
      </c>
      <c r="E27" s="305"/>
      <c r="F27" s="275">
        <f>'73, IEC62552 2007'!J9</f>
        <v>177.9</v>
      </c>
      <c r="G27" s="276"/>
      <c r="H27" s="329">
        <f>ROUND(F27,0)</f>
        <v>178</v>
      </c>
      <c r="I27" s="330"/>
      <c r="J27" s="245"/>
      <c r="K27" s="245"/>
      <c r="L27" s="337"/>
      <c r="M27" s="337"/>
      <c r="N27" s="93"/>
      <c r="O27" s="69"/>
      <c r="P27" s="61"/>
      <c r="Q27" s="61" t="s">
        <v>295</v>
      </c>
      <c r="R27" s="275">
        <f>F27-H27</f>
        <v>-9.9999999999994316E-2</v>
      </c>
      <c r="S27" s="276"/>
      <c r="T27" s="252">
        <f>F27/H27</f>
        <v>0.99943820224719104</v>
      </c>
      <c r="U27" s="253"/>
      <c r="V27" s="90"/>
    </row>
    <row r="28" spans="1:22" ht="18" customHeight="1">
      <c r="A28" s="65"/>
      <c r="B28" s="299"/>
      <c r="C28" s="61"/>
      <c r="D28" s="308" t="s">
        <v>40</v>
      </c>
      <c r="E28" s="309"/>
      <c r="F28" s="310">
        <f>'73, IEC62552 2007'!J10</f>
        <v>373</v>
      </c>
      <c r="G28" s="311"/>
      <c r="H28" s="331">
        <f>ROUND(F28,0)</f>
        <v>373</v>
      </c>
      <c r="I28" s="332"/>
      <c r="J28" s="245"/>
      <c r="K28" s="245"/>
      <c r="L28" s="337"/>
      <c r="M28" s="337"/>
      <c r="N28" s="69"/>
      <c r="O28" s="69"/>
      <c r="P28" s="61"/>
      <c r="Q28" s="61" t="s">
        <v>301</v>
      </c>
      <c r="R28" s="333">
        <f>F28-H28</f>
        <v>0</v>
      </c>
      <c r="S28" s="334"/>
      <c r="T28" s="335">
        <f>F28/H28</f>
        <v>1</v>
      </c>
      <c r="U28" s="336"/>
      <c r="V28" s="90"/>
    </row>
    <row r="29" spans="1:22" ht="18" customHeight="1">
      <c r="A29" s="65"/>
      <c r="B29" s="299"/>
      <c r="C29" s="61"/>
      <c r="D29" s="66" t="s">
        <v>344</v>
      </c>
      <c r="E29" s="67"/>
      <c r="F29" s="254"/>
      <c r="G29" s="255"/>
      <c r="H29" s="281">
        <f>H27+H28</f>
        <v>551</v>
      </c>
      <c r="I29" s="282"/>
      <c r="J29" s="198"/>
      <c r="K29" s="198"/>
      <c r="L29" s="96"/>
      <c r="M29" s="96"/>
      <c r="N29" s="69"/>
      <c r="O29" s="69"/>
      <c r="P29" s="61"/>
      <c r="Q29" s="61" t="s">
        <v>302</v>
      </c>
      <c r="R29" s="271">
        <f>F27+F28-H29</f>
        <v>-0.10000000000002274</v>
      </c>
      <c r="S29" s="272"/>
      <c r="T29" s="273">
        <f>(F27+F28)/H29</f>
        <v>0.9998185117967332</v>
      </c>
      <c r="U29" s="274"/>
      <c r="V29" s="90"/>
    </row>
    <row r="30" spans="1:22" ht="18" customHeight="1">
      <c r="A30" s="65"/>
      <c r="B30" s="299"/>
      <c r="C30" s="85"/>
      <c r="D30" s="61"/>
      <c r="E30" s="61"/>
      <c r="F30" s="86"/>
      <c r="G30" s="86"/>
      <c r="H30" s="87"/>
      <c r="I30" s="87"/>
      <c r="J30" s="87"/>
      <c r="K30" s="87"/>
      <c r="L30" s="88"/>
      <c r="M30" s="88"/>
      <c r="N30" s="69"/>
      <c r="O30" s="69"/>
      <c r="P30" s="61"/>
      <c r="Q30" s="61"/>
      <c r="R30" s="61"/>
      <c r="S30" s="61"/>
      <c r="T30" s="61"/>
      <c r="U30" s="89"/>
      <c r="V30" s="90"/>
    </row>
    <row r="31" spans="1:22" ht="18" customHeight="1">
      <c r="A31" s="65"/>
      <c r="B31" s="299"/>
      <c r="C31" s="6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69"/>
      <c r="O31" s="69"/>
      <c r="P31" s="61"/>
      <c r="Q31" s="61"/>
      <c r="R31" s="61"/>
      <c r="S31" s="61"/>
      <c r="T31" s="61"/>
      <c r="U31" s="89"/>
      <c r="V31" s="90"/>
    </row>
    <row r="32" spans="1:22" ht="18" customHeight="1">
      <c r="A32" s="65"/>
      <c r="B32" s="299"/>
      <c r="C32" s="61"/>
      <c r="D32" s="266"/>
      <c r="E32" s="266"/>
      <c r="F32" s="267"/>
      <c r="G32" s="267"/>
      <c r="H32" s="268"/>
      <c r="I32" s="268"/>
      <c r="J32" s="245"/>
      <c r="K32" s="245"/>
      <c r="L32" s="261"/>
      <c r="M32" s="261"/>
      <c r="N32" s="69"/>
      <c r="O32" s="69"/>
      <c r="P32" s="61"/>
      <c r="Q32" s="61"/>
      <c r="R32" s="61"/>
      <c r="S32" s="61"/>
      <c r="T32" s="61"/>
      <c r="U32" s="89"/>
      <c r="V32" s="90"/>
    </row>
    <row r="33" spans="1:22" ht="18" customHeight="1">
      <c r="A33" s="65"/>
      <c r="B33" s="299"/>
      <c r="C33" s="61"/>
      <c r="D33" s="251"/>
      <c r="E33" s="251"/>
      <c r="F33" s="245"/>
      <c r="G33" s="245"/>
      <c r="H33" s="250"/>
      <c r="I33" s="250"/>
      <c r="J33" s="245"/>
      <c r="K33" s="245"/>
      <c r="L33" s="261"/>
      <c r="M33" s="261"/>
      <c r="N33" s="69"/>
      <c r="O33" s="69"/>
      <c r="P33" s="61"/>
      <c r="Q33" s="61"/>
      <c r="R33" s="61"/>
      <c r="S33" s="61"/>
      <c r="T33" s="61"/>
      <c r="U33" s="89"/>
      <c r="V33" s="90"/>
    </row>
    <row r="34" spans="1:22" ht="18" customHeight="1">
      <c r="A34" s="65"/>
      <c r="B34" s="299"/>
      <c r="C34" s="91"/>
      <c r="D34" s="195"/>
      <c r="E34" s="195"/>
      <c r="F34" s="95"/>
      <c r="G34" s="95"/>
      <c r="H34" s="198"/>
      <c r="I34" s="198"/>
      <c r="J34" s="198"/>
      <c r="K34" s="198"/>
      <c r="L34" s="96"/>
      <c r="M34" s="96"/>
      <c r="N34" s="69"/>
      <c r="O34" s="69"/>
      <c r="P34" s="61"/>
      <c r="Q34" s="61"/>
      <c r="R34" s="61"/>
      <c r="S34" s="61"/>
      <c r="T34" s="61"/>
      <c r="U34" s="94"/>
      <c r="V34" s="90"/>
    </row>
    <row r="35" spans="1:22" ht="18" customHeight="1">
      <c r="A35" s="65"/>
      <c r="B35" s="299"/>
      <c r="C35" s="6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69"/>
      <c r="O35" s="69"/>
      <c r="P35" s="61"/>
      <c r="Q35" s="61"/>
      <c r="R35" s="61"/>
      <c r="S35" s="61"/>
      <c r="T35" s="61"/>
      <c r="U35" s="89"/>
      <c r="V35" s="90"/>
    </row>
    <row r="36" spans="1:22" ht="18" customHeight="1">
      <c r="A36" s="65"/>
      <c r="B36" s="299"/>
      <c r="C36" s="61"/>
      <c r="D36" s="265"/>
      <c r="E36" s="265"/>
      <c r="F36" s="245"/>
      <c r="G36" s="245"/>
      <c r="H36" s="250"/>
      <c r="I36" s="250"/>
      <c r="J36" s="245"/>
      <c r="K36" s="245"/>
      <c r="L36" s="261"/>
      <c r="M36" s="261"/>
      <c r="N36" s="69"/>
      <c r="O36" s="69"/>
      <c r="P36" s="61"/>
      <c r="Q36" s="61"/>
      <c r="R36" s="61"/>
      <c r="S36" s="61"/>
      <c r="T36" s="61"/>
      <c r="U36" s="89"/>
      <c r="V36" s="90"/>
    </row>
    <row r="37" spans="1:22" ht="18" customHeight="1">
      <c r="A37" s="65"/>
      <c r="B37" s="299"/>
      <c r="C37" s="61"/>
      <c r="D37" s="266"/>
      <c r="E37" s="266"/>
      <c r="F37" s="267"/>
      <c r="G37" s="267"/>
      <c r="H37" s="268"/>
      <c r="I37" s="268"/>
      <c r="J37" s="245"/>
      <c r="K37" s="245"/>
      <c r="L37" s="261"/>
      <c r="M37" s="261"/>
      <c r="N37" s="69"/>
      <c r="O37" s="69"/>
      <c r="P37" s="61"/>
      <c r="Q37" s="61"/>
      <c r="R37" s="61"/>
      <c r="S37" s="61"/>
      <c r="T37" s="61"/>
      <c r="U37" s="89"/>
      <c r="V37" s="90"/>
    </row>
    <row r="38" spans="1:22" ht="18" customHeight="1">
      <c r="A38" s="65"/>
      <c r="B38" s="299"/>
      <c r="C38" s="61"/>
      <c r="D38" s="251"/>
      <c r="E38" s="251"/>
      <c r="F38" s="245"/>
      <c r="G38" s="245"/>
      <c r="H38" s="250"/>
      <c r="I38" s="250"/>
      <c r="J38" s="245"/>
      <c r="K38" s="245"/>
      <c r="L38" s="261"/>
      <c r="M38" s="261"/>
      <c r="N38" s="69"/>
      <c r="O38" s="69"/>
      <c r="P38" s="61"/>
      <c r="Q38" s="61"/>
      <c r="R38" s="61"/>
      <c r="S38" s="61"/>
      <c r="T38" s="61"/>
      <c r="U38" s="89"/>
      <c r="V38" s="90"/>
    </row>
    <row r="39" spans="1:22" ht="18" customHeight="1">
      <c r="A39" s="65"/>
      <c r="B39" s="300"/>
      <c r="C39" s="61"/>
      <c r="D39" s="195"/>
      <c r="E39" s="195"/>
      <c r="F39" s="97"/>
      <c r="G39" s="97"/>
      <c r="H39" s="98"/>
      <c r="I39" s="98"/>
      <c r="J39" s="98"/>
      <c r="K39" s="98"/>
      <c r="L39" s="96"/>
      <c r="M39" s="96"/>
      <c r="N39" s="69"/>
      <c r="O39" s="69"/>
      <c r="P39" s="61"/>
      <c r="Q39" s="61"/>
      <c r="R39" s="61"/>
      <c r="S39" s="61"/>
      <c r="T39" s="61"/>
    </row>
    <row r="40" spans="1:22">
      <c r="A40" s="65"/>
      <c r="B40" s="99"/>
      <c r="C40" s="63"/>
      <c r="D40" s="262"/>
      <c r="E40" s="262"/>
      <c r="F40" s="263"/>
      <c r="G40" s="263"/>
      <c r="H40" s="264"/>
      <c r="I40" s="264"/>
      <c r="J40" s="200"/>
      <c r="K40" s="200"/>
      <c r="L40" s="100"/>
      <c r="M40" s="100"/>
      <c r="N40" s="63"/>
      <c r="O40" s="69"/>
      <c r="P40" s="61"/>
      <c r="Q40" s="61"/>
      <c r="R40" s="61"/>
      <c r="S40" s="61"/>
      <c r="T40" s="61"/>
    </row>
    <row r="41" spans="1:22" ht="18" customHeight="1">
      <c r="A41" s="65"/>
      <c r="B41" s="256" t="s">
        <v>303</v>
      </c>
      <c r="C41" s="62"/>
      <c r="D41" s="63" t="s">
        <v>343</v>
      </c>
      <c r="E41" s="101"/>
      <c r="F41" s="199"/>
      <c r="G41" s="199"/>
      <c r="H41" s="200"/>
      <c r="I41" s="200"/>
      <c r="J41" s="200"/>
      <c r="K41" s="200"/>
      <c r="L41" s="100"/>
      <c r="M41" s="100"/>
      <c r="N41" s="64"/>
      <c r="O41" s="69"/>
      <c r="P41" s="61"/>
      <c r="Q41" s="61"/>
      <c r="R41" s="61"/>
      <c r="S41" s="61"/>
      <c r="T41" s="61"/>
    </row>
    <row r="42" spans="1:22" ht="18" customHeight="1">
      <c r="A42" s="65"/>
      <c r="B42" s="257"/>
      <c r="C42" s="65"/>
      <c r="D42" s="193"/>
      <c r="E42" s="102"/>
      <c r="F42" s="103"/>
      <c r="G42" s="196"/>
      <c r="H42" s="104"/>
      <c r="I42" s="104"/>
      <c r="J42" s="104"/>
      <c r="K42" s="104"/>
      <c r="L42" s="197"/>
      <c r="M42" s="197"/>
      <c r="N42" s="105"/>
      <c r="O42" s="69"/>
      <c r="P42" s="61"/>
      <c r="Q42" s="61"/>
      <c r="R42" s="61"/>
      <c r="S42" s="61"/>
      <c r="T42" s="61"/>
      <c r="V42" s="106"/>
    </row>
    <row r="43" spans="1:22" ht="18" customHeight="1">
      <c r="A43" s="65"/>
      <c r="B43" s="257"/>
      <c r="C43" s="107"/>
      <c r="D43" s="108"/>
      <c r="G43" s="109"/>
      <c r="H43" s="110"/>
      <c r="I43" s="110"/>
      <c r="J43" s="110"/>
      <c r="K43" s="110"/>
      <c r="L43" s="111"/>
      <c r="M43" s="197"/>
      <c r="N43" s="105"/>
      <c r="O43" s="69"/>
      <c r="P43" s="61"/>
      <c r="Q43" s="61"/>
      <c r="R43" s="61"/>
      <c r="S43" s="61"/>
      <c r="T43" s="61"/>
      <c r="V43" s="106"/>
    </row>
    <row r="44" spans="1:22" ht="18" customHeight="1">
      <c r="A44" s="65"/>
      <c r="B44" s="257"/>
      <c r="C44" s="112"/>
      <c r="D44" s="113"/>
      <c r="E44" s="114"/>
      <c r="F44" s="115"/>
      <c r="G44" s="109"/>
      <c r="H44" s="110"/>
      <c r="I44" s="110"/>
      <c r="J44" s="110"/>
      <c r="K44" s="110"/>
      <c r="L44" s="111"/>
      <c r="M44" s="197"/>
      <c r="N44" s="105"/>
      <c r="O44" s="69"/>
      <c r="P44" s="61"/>
      <c r="Q44" s="108"/>
      <c r="S44" s="61"/>
      <c r="T44" s="61"/>
      <c r="V44" s="106"/>
    </row>
    <row r="45" spans="1:22" ht="18" customHeight="1">
      <c r="A45" s="65"/>
      <c r="B45" s="257"/>
      <c r="C45" s="107"/>
      <c r="D45" s="113"/>
      <c r="E45" s="61"/>
      <c r="F45" s="116"/>
      <c r="G45" s="116"/>
      <c r="H45" s="116"/>
      <c r="I45" s="116"/>
      <c r="J45" s="116"/>
      <c r="K45" s="116"/>
      <c r="L45" s="116"/>
      <c r="M45" s="61"/>
      <c r="N45" s="69"/>
      <c r="O45" s="69"/>
      <c r="P45" s="61"/>
      <c r="Q45" s="113"/>
      <c r="R45" s="114"/>
      <c r="S45" s="61"/>
      <c r="T45" s="61"/>
    </row>
    <row r="46" spans="1:22" ht="18" customHeight="1">
      <c r="A46" s="65"/>
      <c r="B46" s="257"/>
      <c r="C46" s="65"/>
      <c r="D46" s="116"/>
      <c r="E46" s="116"/>
      <c r="F46" s="117"/>
      <c r="G46" s="116"/>
      <c r="H46" s="116"/>
      <c r="I46" s="116"/>
      <c r="J46" s="116"/>
      <c r="K46" s="116"/>
      <c r="L46" s="116"/>
      <c r="M46" s="61"/>
      <c r="N46" s="69"/>
      <c r="O46" s="69"/>
      <c r="P46" s="61"/>
      <c r="Q46" s="113"/>
      <c r="R46" s="61"/>
      <c r="S46" s="61"/>
      <c r="T46" s="61"/>
    </row>
    <row r="47" spans="1:22" ht="18" customHeight="1">
      <c r="A47" s="65"/>
      <c r="B47" s="257"/>
      <c r="C47" s="65"/>
      <c r="D47" s="116"/>
      <c r="E47" s="118"/>
      <c r="F47" s="116"/>
      <c r="G47" s="116"/>
      <c r="H47" s="116"/>
      <c r="I47" s="116"/>
      <c r="J47" s="116"/>
      <c r="K47" s="116"/>
      <c r="L47" s="116"/>
      <c r="M47" s="61"/>
      <c r="N47" s="119"/>
      <c r="O47" s="69"/>
      <c r="P47" s="61"/>
      <c r="Q47" s="61"/>
      <c r="R47" s="61"/>
      <c r="S47" s="61"/>
      <c r="T47" s="61"/>
    </row>
    <row r="48" spans="1:22" ht="18" customHeight="1">
      <c r="A48" s="65"/>
      <c r="B48" s="257"/>
      <c r="C48" s="65"/>
      <c r="D48" s="116"/>
      <c r="E48" s="118"/>
      <c r="F48" s="116"/>
      <c r="G48" s="116"/>
      <c r="H48" s="116"/>
      <c r="I48" s="116"/>
      <c r="J48" s="116"/>
      <c r="K48" s="116"/>
      <c r="L48" s="116"/>
      <c r="M48" s="61"/>
      <c r="N48" s="119"/>
      <c r="O48" s="69"/>
      <c r="P48" s="61"/>
      <c r="Q48" s="61"/>
      <c r="R48" s="61"/>
      <c r="S48" s="61"/>
      <c r="T48" s="61"/>
    </row>
    <row r="49" spans="1:21" ht="18" customHeight="1">
      <c r="A49" s="65"/>
      <c r="B49" s="258"/>
      <c r="C49" s="120"/>
      <c r="D49" s="121"/>
      <c r="E49" s="122"/>
      <c r="F49" s="121"/>
      <c r="G49" s="121"/>
      <c r="H49" s="121"/>
      <c r="I49" s="121"/>
      <c r="J49" s="121"/>
      <c r="K49" s="121"/>
      <c r="L49" s="121"/>
      <c r="M49" s="60"/>
      <c r="N49" s="123"/>
      <c r="O49" s="69"/>
      <c r="P49" s="61"/>
      <c r="Q49" s="61"/>
      <c r="R49" s="61"/>
      <c r="S49" s="61"/>
      <c r="T49" s="61"/>
    </row>
    <row r="50" spans="1:21">
      <c r="A50" s="65"/>
      <c r="B50" s="124"/>
      <c r="C50" s="60"/>
      <c r="D50" s="125"/>
      <c r="E50" s="60"/>
      <c r="F50" s="60"/>
      <c r="G50" s="61"/>
      <c r="H50" s="61"/>
      <c r="I50" s="61"/>
      <c r="J50" s="61"/>
      <c r="K50" s="61"/>
      <c r="L50" s="61"/>
      <c r="M50" s="61"/>
      <c r="N50" s="61"/>
      <c r="O50" s="69"/>
      <c r="P50" s="61"/>
      <c r="Q50" s="61"/>
      <c r="R50" s="61"/>
      <c r="S50" s="61"/>
      <c r="T50" s="61"/>
    </row>
    <row r="51" spans="1:21" ht="20.100000000000001" customHeight="1">
      <c r="A51" s="65"/>
      <c r="B51" s="259" t="s">
        <v>42</v>
      </c>
      <c r="C51" s="79"/>
      <c r="D51" s="80"/>
      <c r="E51" s="80"/>
      <c r="F51" s="154"/>
      <c r="G51" s="155"/>
      <c r="H51" s="61"/>
      <c r="I51" s="61"/>
      <c r="J51" s="61"/>
      <c r="K51" s="61"/>
      <c r="L51" s="61"/>
      <c r="M51" s="61"/>
      <c r="N51" s="61"/>
      <c r="O51" s="69"/>
      <c r="P51" s="61"/>
      <c r="Q51" s="61"/>
      <c r="R51" s="61"/>
      <c r="S51" s="61"/>
      <c r="T51" s="61"/>
    </row>
    <row r="52" spans="1:21" ht="20.100000000000001" customHeight="1">
      <c r="A52" s="65"/>
      <c r="B52" s="259"/>
      <c r="C52" s="155"/>
      <c r="D52" s="82"/>
      <c r="E52" s="82"/>
      <c r="F52" s="156"/>
      <c r="G52" s="155"/>
      <c r="H52" s="61"/>
      <c r="I52" s="61"/>
      <c r="J52" s="61"/>
      <c r="K52" s="61"/>
      <c r="L52" s="61"/>
      <c r="M52" s="61"/>
      <c r="N52" s="61"/>
      <c r="O52" s="69"/>
      <c r="P52" s="61"/>
      <c r="Q52" s="61"/>
      <c r="R52" s="61"/>
      <c r="S52" s="61"/>
      <c r="T52" s="61"/>
    </row>
    <row r="53" spans="1:21" ht="20.100000000000001" customHeight="1">
      <c r="A53" s="65"/>
      <c r="B53" s="260"/>
      <c r="C53" s="157"/>
      <c r="D53" s="158"/>
      <c r="E53" s="158"/>
      <c r="F53" s="159"/>
      <c r="G53" s="155"/>
      <c r="H53" s="61"/>
      <c r="I53" s="61"/>
      <c r="J53" s="61"/>
      <c r="K53" s="61"/>
      <c r="L53" s="61"/>
      <c r="M53" s="61"/>
      <c r="N53" s="61"/>
      <c r="O53" s="69"/>
      <c r="P53" s="61"/>
      <c r="Q53" s="61"/>
      <c r="R53" s="61"/>
      <c r="S53" s="61"/>
      <c r="T53" s="61"/>
    </row>
    <row r="54" spans="1:21" ht="20.100000000000001" customHeight="1">
      <c r="A54" s="65"/>
      <c r="B54" s="126"/>
      <c r="C54" s="61"/>
      <c r="D54" s="194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9"/>
      <c r="P54" s="61"/>
      <c r="Q54" s="61"/>
      <c r="R54" s="61"/>
      <c r="S54" s="61"/>
      <c r="T54" s="61"/>
    </row>
    <row r="55" spans="1:21" ht="20.100000000000001" customHeight="1">
      <c r="A55" s="65"/>
      <c r="B55" s="126"/>
      <c r="C55" s="61"/>
      <c r="D55" s="194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9"/>
      <c r="P55" s="61"/>
      <c r="Q55" s="61"/>
      <c r="R55" s="61"/>
      <c r="S55" s="61"/>
      <c r="T55" s="61"/>
    </row>
    <row r="56" spans="1:21">
      <c r="A56" s="65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9"/>
      <c r="P56" s="61"/>
      <c r="Q56" s="61"/>
      <c r="R56" s="61"/>
      <c r="S56" s="61"/>
      <c r="T56" s="61"/>
    </row>
    <row r="57" spans="1:21">
      <c r="A57" s="65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9"/>
      <c r="P57" s="61"/>
      <c r="Q57" s="61"/>
      <c r="R57" s="61"/>
      <c r="S57" s="61"/>
      <c r="T57" s="61"/>
    </row>
    <row r="58" spans="1:21">
      <c r="A58" s="65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9"/>
      <c r="P58" s="61"/>
      <c r="Q58" s="61"/>
      <c r="R58" s="61"/>
      <c r="S58" s="61"/>
      <c r="T58" s="61"/>
    </row>
    <row r="59" spans="1:21" ht="24.75" customHeight="1">
      <c r="A59" s="65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9"/>
      <c r="P59" s="61"/>
      <c r="Q59" s="61"/>
      <c r="R59" s="61"/>
      <c r="S59" s="61"/>
      <c r="T59" s="61"/>
    </row>
    <row r="60" spans="1:21" ht="5.25" customHeight="1">
      <c r="A60" s="65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9"/>
      <c r="P60" s="61"/>
      <c r="Q60" s="61"/>
      <c r="R60" s="61"/>
      <c r="S60" s="61"/>
      <c r="T60" s="61"/>
    </row>
    <row r="61" spans="1:21">
      <c r="A61" s="12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73"/>
      <c r="P61" s="61"/>
      <c r="Q61" s="61"/>
      <c r="R61" s="61"/>
      <c r="S61" s="61"/>
      <c r="T61" s="61"/>
      <c r="U61" s="61"/>
    </row>
    <row r="62" spans="1:2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</row>
    <row r="63" spans="1:2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</row>
    <row r="64" spans="1:2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</row>
    <row r="65" spans="1:2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</row>
  </sheetData>
  <mergeCells count="97">
    <mergeCell ref="B41:B49"/>
    <mergeCell ref="B51:B53"/>
    <mergeCell ref="D38:E38"/>
    <mergeCell ref="F38:G38"/>
    <mergeCell ref="H38:I38"/>
    <mergeCell ref="J38:K38"/>
    <mergeCell ref="L38:M38"/>
    <mergeCell ref="D40:E40"/>
    <mergeCell ref="F40:G40"/>
    <mergeCell ref="H40:I40"/>
    <mergeCell ref="D36:E36"/>
    <mergeCell ref="F36:G36"/>
    <mergeCell ref="H36:I36"/>
    <mergeCell ref="J36:K36"/>
    <mergeCell ref="L36:M36"/>
    <mergeCell ref="D37:E37"/>
    <mergeCell ref="F37:G37"/>
    <mergeCell ref="H37:I37"/>
    <mergeCell ref="J37:K37"/>
    <mergeCell ref="L37:M37"/>
    <mergeCell ref="D33:E33"/>
    <mergeCell ref="F33:G33"/>
    <mergeCell ref="H33:I33"/>
    <mergeCell ref="J33:K33"/>
    <mergeCell ref="L33:M33"/>
    <mergeCell ref="D35:E35"/>
    <mergeCell ref="F35:G35"/>
    <mergeCell ref="H35:I35"/>
    <mergeCell ref="J35:K35"/>
    <mergeCell ref="L35:M35"/>
    <mergeCell ref="D31:E31"/>
    <mergeCell ref="F31:G31"/>
    <mergeCell ref="H31:I31"/>
    <mergeCell ref="J31:K31"/>
    <mergeCell ref="L31:M31"/>
    <mergeCell ref="D32:E32"/>
    <mergeCell ref="F32:G32"/>
    <mergeCell ref="H32:I32"/>
    <mergeCell ref="J32:K32"/>
    <mergeCell ref="L32:M32"/>
    <mergeCell ref="T28:U28"/>
    <mergeCell ref="H29:I29"/>
    <mergeCell ref="R29:S29"/>
    <mergeCell ref="T29:U29"/>
    <mergeCell ref="D28:E28"/>
    <mergeCell ref="F28:G28"/>
    <mergeCell ref="H28:I28"/>
    <mergeCell ref="J28:K28"/>
    <mergeCell ref="L28:M28"/>
    <mergeCell ref="R28:S28"/>
    <mergeCell ref="F29:G29"/>
    <mergeCell ref="T26:U26"/>
    <mergeCell ref="D27:E27"/>
    <mergeCell ref="F27:G27"/>
    <mergeCell ref="H27:I27"/>
    <mergeCell ref="J27:K27"/>
    <mergeCell ref="L27:M27"/>
    <mergeCell ref="R27:S27"/>
    <mergeCell ref="T27:U27"/>
    <mergeCell ref="D26:E26"/>
    <mergeCell ref="F26:G26"/>
    <mergeCell ref="H26:I26"/>
    <mergeCell ref="J26:K26"/>
    <mergeCell ref="L26:M26"/>
    <mergeCell ref="R26:S26"/>
    <mergeCell ref="T22:U22"/>
    <mergeCell ref="D25:E25"/>
    <mergeCell ref="F25:G25"/>
    <mergeCell ref="H25:I25"/>
    <mergeCell ref="J25:K25"/>
    <mergeCell ref="L25:M25"/>
    <mergeCell ref="H23:I23"/>
    <mergeCell ref="R23:S23"/>
    <mergeCell ref="T23:U23"/>
    <mergeCell ref="F23:G23"/>
    <mergeCell ref="Q14:Z14"/>
    <mergeCell ref="B16:B39"/>
    <mergeCell ref="D20:E20"/>
    <mergeCell ref="F20:G20"/>
    <mergeCell ref="H20:I20"/>
    <mergeCell ref="R20:S20"/>
    <mergeCell ref="T20:U20"/>
    <mergeCell ref="D21:E21"/>
    <mergeCell ref="F21:G21"/>
    <mergeCell ref="H21:I21"/>
    <mergeCell ref="R21:S21"/>
    <mergeCell ref="T21:U21"/>
    <mergeCell ref="D22:E22"/>
    <mergeCell ref="F22:G22"/>
    <mergeCell ref="H22:I22"/>
    <mergeCell ref="R22:S22"/>
    <mergeCell ref="B5:B7"/>
    <mergeCell ref="J5:L5"/>
    <mergeCell ref="J6:N6"/>
    <mergeCell ref="B9:B10"/>
    <mergeCell ref="B12:B14"/>
    <mergeCell ref="C14:L14"/>
  </mergeCells>
  <phoneticPr fontId="1"/>
  <pageMargins left="0.55118110236220474" right="0.19685039370078741" top="0.39370078740157483" bottom="0.54" header="0.35433070866141736" footer="0.32"/>
  <pageSetup paperSize="9" scale="79" fitToWidth="2" fitToHeight="2" orientation="portrait" horizontalDpi="4294967294" r:id="rId1"/>
  <headerFooter alignWithMargins="0">
    <oddFooter>&amp;C&amp;"Century,標準"Sharp Corporation</oddFooter>
  </headerFooter>
  <colBreaks count="1" manualBreakCount="1">
    <brk id="15" max="60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5:K187"/>
  <sheetViews>
    <sheetView view="pageBreakPreview" zoomScaleNormal="85" zoomScaleSheetLayoutView="100" workbookViewId="0">
      <pane xSplit="4" ySplit="15" topLeftCell="E16" activePane="bottomRight" state="frozen"/>
      <selection pane="topRight" activeCell="D1" sqref="D1"/>
      <selection pane="bottomLeft" activeCell="A15" sqref="A15"/>
      <selection pane="bottomRight" activeCell="M16" sqref="M16"/>
    </sheetView>
  </sheetViews>
  <sheetFormatPr defaultColWidth="8.875" defaultRowHeight="15" customHeight="1"/>
  <cols>
    <col min="1" max="1" width="2.875" style="1" customWidth="1"/>
    <col min="2" max="2" width="2.75" style="1" customWidth="1"/>
    <col min="3" max="3" width="6.75" style="1" customWidth="1"/>
    <col min="4" max="4" width="38" style="1" bestFit="1" customWidth="1"/>
    <col min="5" max="5" width="10.75" style="1" customWidth="1"/>
    <col min="6" max="6" width="19.875" style="1" bestFit="1" customWidth="1"/>
    <col min="7" max="7" width="13.875" style="1" bestFit="1" customWidth="1"/>
    <col min="8" max="8" width="13.625" style="1" bestFit="1" customWidth="1"/>
    <col min="9" max="11" width="10.75" style="1" customWidth="1"/>
    <col min="12" max="16384" width="8.875" style="1"/>
  </cols>
  <sheetData>
    <row r="5" spans="3:11" ht="15" customHeight="1">
      <c r="E5" s="9"/>
      <c r="F5" s="9"/>
      <c r="G5" s="9"/>
      <c r="H5" s="9"/>
      <c r="I5" s="9"/>
      <c r="J5" s="9"/>
      <c r="K5" s="9"/>
    </row>
    <row r="6" spans="3:11" ht="15" customHeight="1">
      <c r="C6" s="9"/>
      <c r="D6" s="9"/>
      <c r="E6" s="9"/>
      <c r="F6" s="9"/>
      <c r="G6" s="9"/>
      <c r="H6" s="9"/>
      <c r="I6" s="9"/>
      <c r="J6" s="9"/>
    </row>
    <row r="7" spans="3:11" ht="15" customHeight="1">
      <c r="C7" s="9"/>
      <c r="D7" s="8" t="s">
        <v>273</v>
      </c>
      <c r="G7" s="9"/>
      <c r="H7" s="9"/>
      <c r="I7" s="9"/>
      <c r="J7" s="314" t="s">
        <v>17</v>
      </c>
      <c r="K7" s="315"/>
    </row>
    <row r="8" spans="3:11" ht="15" customHeight="1">
      <c r="C8" s="9"/>
      <c r="D8" s="9"/>
      <c r="G8" s="27"/>
      <c r="H8" s="10"/>
      <c r="I8" s="9"/>
      <c r="J8" s="204" t="s">
        <v>11</v>
      </c>
      <c r="K8" s="202" t="s">
        <v>5</v>
      </c>
    </row>
    <row r="9" spans="3:11" ht="15" customHeight="1">
      <c r="C9" s="9"/>
      <c r="E9" s="58"/>
      <c r="F9" s="175"/>
      <c r="G9" s="10"/>
      <c r="H9" s="314" t="s">
        <v>16</v>
      </c>
      <c r="I9" s="315"/>
      <c r="J9" s="49">
        <f>J79</f>
        <v>177.9</v>
      </c>
      <c r="K9" s="50">
        <f>K79</f>
        <v>206.9</v>
      </c>
    </row>
    <row r="10" spans="3:11" ht="15" customHeight="1">
      <c r="C10" s="9"/>
      <c r="E10" s="58"/>
      <c r="F10" s="175"/>
      <c r="G10" s="10"/>
      <c r="H10" s="314" t="s">
        <v>15</v>
      </c>
      <c r="I10" s="315"/>
      <c r="J10" s="51">
        <f>J183</f>
        <v>373</v>
      </c>
      <c r="K10" s="52">
        <f>K183</f>
        <v>393.9</v>
      </c>
    </row>
    <row r="11" spans="3:11" ht="15" customHeight="1">
      <c r="C11" s="9"/>
      <c r="E11" s="58"/>
      <c r="F11" s="175"/>
      <c r="G11" s="10"/>
      <c r="H11" s="322"/>
      <c r="I11" s="322"/>
      <c r="J11" s="234"/>
      <c r="K11" s="234"/>
    </row>
    <row r="12" spans="3:11" ht="15" customHeight="1">
      <c r="C12" s="9"/>
      <c r="D12" s="9"/>
      <c r="E12" s="9"/>
      <c r="F12" s="9"/>
      <c r="G12" s="9"/>
      <c r="H12" s="9"/>
      <c r="I12" s="9"/>
      <c r="J12" s="9"/>
    </row>
    <row r="13" spans="3:11" ht="15" customHeight="1">
      <c r="C13" s="2"/>
      <c r="D13" s="2" t="s">
        <v>16</v>
      </c>
      <c r="E13" s="9"/>
      <c r="F13" s="9"/>
      <c r="G13" s="9"/>
      <c r="H13" s="9"/>
      <c r="I13" s="9"/>
      <c r="J13" s="9"/>
      <c r="K13" s="9"/>
    </row>
    <row r="14" spans="3:11" ht="15" customHeight="1">
      <c r="C14" s="320" t="s">
        <v>0</v>
      </c>
      <c r="D14" s="320" t="s">
        <v>1</v>
      </c>
      <c r="E14" s="167" t="s">
        <v>54</v>
      </c>
      <c r="F14" s="321" t="s">
        <v>4</v>
      </c>
      <c r="G14" s="322"/>
      <c r="H14" s="323"/>
      <c r="I14" s="316" t="s">
        <v>18</v>
      </c>
      <c r="J14" s="339" t="s">
        <v>17</v>
      </c>
      <c r="K14" s="340"/>
    </row>
    <row r="15" spans="3:11" ht="15" customHeight="1">
      <c r="C15" s="317"/>
      <c r="D15" s="317"/>
      <c r="E15" s="203" t="s">
        <v>67</v>
      </c>
      <c r="F15" s="37" t="s">
        <v>7</v>
      </c>
      <c r="G15" s="37" t="s">
        <v>138</v>
      </c>
      <c r="H15" s="37" t="s">
        <v>3</v>
      </c>
      <c r="I15" s="317"/>
      <c r="J15" s="205" t="s">
        <v>11</v>
      </c>
      <c r="K15" s="205" t="s">
        <v>5</v>
      </c>
    </row>
    <row r="16" spans="3:11" ht="15" customHeight="1">
      <c r="C16" s="6" t="s">
        <v>8</v>
      </c>
      <c r="D16" s="14" t="s">
        <v>61</v>
      </c>
      <c r="E16" s="168">
        <v>1</v>
      </c>
      <c r="F16" s="208">
        <v>630.6</v>
      </c>
      <c r="G16" s="173">
        <v>405.5</v>
      </c>
      <c r="H16" s="208">
        <v>462.5</v>
      </c>
      <c r="I16" s="32">
        <f t="shared" ref="I16:I63" si="0">(E16*F16*G16*H16)/1000000</f>
        <v>118.26508875000002</v>
      </c>
      <c r="J16" s="42">
        <f t="shared" ref="J16:J28" si="1">I16</f>
        <v>118.26508875000002</v>
      </c>
      <c r="K16" s="43">
        <f t="shared" ref="K16:K30" si="2">I16</f>
        <v>118.26508875000002</v>
      </c>
    </row>
    <row r="17" spans="1:11" ht="15" customHeight="1">
      <c r="C17" s="38" t="s">
        <v>9</v>
      </c>
      <c r="D17" s="24" t="s">
        <v>62</v>
      </c>
      <c r="E17" s="169">
        <v>1</v>
      </c>
      <c r="F17" s="209">
        <v>630.6</v>
      </c>
      <c r="G17" s="174">
        <v>231.8</v>
      </c>
      <c r="H17" s="209">
        <v>358.5</v>
      </c>
      <c r="I17" s="16">
        <f t="shared" si="0"/>
        <v>52.403049180000011</v>
      </c>
      <c r="J17" s="28">
        <f t="shared" si="1"/>
        <v>52.403049180000011</v>
      </c>
      <c r="K17" s="17">
        <f t="shared" si="2"/>
        <v>52.403049180000011</v>
      </c>
    </row>
    <row r="18" spans="1:11" ht="15" customHeight="1">
      <c r="C18" s="38" t="s">
        <v>10</v>
      </c>
      <c r="D18" s="24" t="s">
        <v>63</v>
      </c>
      <c r="E18" s="169">
        <v>1</v>
      </c>
      <c r="F18" s="209">
        <v>630.6</v>
      </c>
      <c r="G18" s="174">
        <v>32.4</v>
      </c>
      <c r="H18" s="174">
        <v>47.1</v>
      </c>
      <c r="I18" s="16">
        <f t="shared" si="0"/>
        <v>0.96232082400000007</v>
      </c>
      <c r="J18" s="28">
        <f t="shared" si="1"/>
        <v>0.96232082400000007</v>
      </c>
      <c r="K18" s="17">
        <f t="shared" si="2"/>
        <v>0.96232082400000007</v>
      </c>
    </row>
    <row r="19" spans="1:11" ht="15" customHeight="1">
      <c r="C19" s="38" t="s">
        <v>22</v>
      </c>
      <c r="D19" s="24" t="s">
        <v>56</v>
      </c>
      <c r="E19" s="169">
        <v>1</v>
      </c>
      <c r="F19" s="209">
        <v>647.5</v>
      </c>
      <c r="G19" s="209">
        <v>604.9</v>
      </c>
      <c r="H19" s="209">
        <v>19</v>
      </c>
      <c r="I19" s="28">
        <f t="shared" si="0"/>
        <v>7.4417822500000002</v>
      </c>
      <c r="J19" s="35">
        <f t="shared" si="1"/>
        <v>7.4417822500000002</v>
      </c>
      <c r="K19" s="36">
        <f t="shared" si="2"/>
        <v>7.4417822500000002</v>
      </c>
    </row>
    <row r="20" spans="1:11" ht="15" customHeight="1">
      <c r="C20" s="38" t="s">
        <v>23</v>
      </c>
      <c r="D20" s="24" t="s">
        <v>135</v>
      </c>
      <c r="E20" s="169">
        <v>1</v>
      </c>
      <c r="F20" s="210">
        <v>664.1</v>
      </c>
      <c r="G20" s="209">
        <v>8.8000000000000007</v>
      </c>
      <c r="H20" s="209">
        <v>5</v>
      </c>
      <c r="I20" s="28">
        <f t="shared" si="0"/>
        <v>2.9220400000000004E-2</v>
      </c>
      <c r="J20" s="35">
        <f t="shared" si="1"/>
        <v>2.9220400000000004E-2</v>
      </c>
      <c r="K20" s="36">
        <f t="shared" si="2"/>
        <v>2.9220400000000004E-2</v>
      </c>
    </row>
    <row r="21" spans="1:11" ht="15" customHeight="1">
      <c r="C21" s="38" t="s">
        <v>24</v>
      </c>
      <c r="D21" s="24" t="s">
        <v>57</v>
      </c>
      <c r="E21" s="169">
        <v>-3</v>
      </c>
      <c r="F21" s="209">
        <v>558.5</v>
      </c>
      <c r="G21" s="209">
        <v>164.7</v>
      </c>
      <c r="H21" s="209">
        <v>4</v>
      </c>
      <c r="I21" s="16">
        <f t="shared" si="0"/>
        <v>-1.1038193999999999</v>
      </c>
      <c r="J21" s="28">
        <f t="shared" si="1"/>
        <v>-1.1038193999999999</v>
      </c>
      <c r="K21" s="17">
        <f t="shared" si="2"/>
        <v>-1.1038193999999999</v>
      </c>
    </row>
    <row r="22" spans="1:11" ht="15" customHeight="1">
      <c r="C22" s="38" t="s">
        <v>25</v>
      </c>
      <c r="D22" s="24" t="s">
        <v>58</v>
      </c>
      <c r="E22" s="169">
        <v>1</v>
      </c>
      <c r="F22" s="209">
        <v>630.6</v>
      </c>
      <c r="G22" s="209">
        <v>37.5</v>
      </c>
      <c r="H22" s="209">
        <v>299</v>
      </c>
      <c r="I22" s="16">
        <f t="shared" si="0"/>
        <v>7.0706024999999997</v>
      </c>
      <c r="J22" s="28">
        <f t="shared" si="1"/>
        <v>7.0706024999999997</v>
      </c>
      <c r="K22" s="17">
        <f t="shared" si="2"/>
        <v>7.0706024999999997</v>
      </c>
    </row>
    <row r="23" spans="1:11" ht="15" customHeight="1">
      <c r="C23" s="38" t="s">
        <v>147</v>
      </c>
      <c r="D23" s="24" t="s">
        <v>59</v>
      </c>
      <c r="E23" s="169">
        <v>2</v>
      </c>
      <c r="F23" s="209">
        <v>32.799999999999997</v>
      </c>
      <c r="G23" s="209">
        <v>37.5</v>
      </c>
      <c r="H23" s="209">
        <v>119</v>
      </c>
      <c r="I23" s="16">
        <f t="shared" si="0"/>
        <v>0.29274</v>
      </c>
      <c r="J23" s="28">
        <f t="shared" si="1"/>
        <v>0.29274</v>
      </c>
      <c r="K23" s="17">
        <f t="shared" si="2"/>
        <v>0.29274</v>
      </c>
    </row>
    <row r="24" spans="1:11" ht="15" customHeight="1">
      <c r="C24" s="38" t="s">
        <v>148</v>
      </c>
      <c r="D24" s="24" t="s">
        <v>60</v>
      </c>
      <c r="E24" s="169">
        <v>2</v>
      </c>
      <c r="F24" s="209">
        <v>32.799999999999997</v>
      </c>
      <c r="G24" s="209">
        <v>29.5</v>
      </c>
      <c r="H24" s="209">
        <v>26.4</v>
      </c>
      <c r="I24" s="16">
        <f t="shared" si="0"/>
        <v>5.1089279999999994E-2</v>
      </c>
      <c r="J24" s="28">
        <f t="shared" si="1"/>
        <v>5.1089279999999994E-2</v>
      </c>
      <c r="K24" s="17">
        <f t="shared" si="2"/>
        <v>5.1089279999999994E-2</v>
      </c>
    </row>
    <row r="25" spans="1:11" ht="15" customHeight="1">
      <c r="C25" s="38" t="s">
        <v>149</v>
      </c>
      <c r="D25" s="24" t="s">
        <v>71</v>
      </c>
      <c r="E25" s="169">
        <v>2</v>
      </c>
      <c r="F25" s="209">
        <v>42</v>
      </c>
      <c r="G25" s="174">
        <v>439.1</v>
      </c>
      <c r="H25" s="209">
        <v>12</v>
      </c>
      <c r="I25" s="16">
        <f t="shared" si="0"/>
        <v>0.44261280000000003</v>
      </c>
      <c r="J25" s="28">
        <f t="shared" si="1"/>
        <v>0.44261280000000003</v>
      </c>
      <c r="K25" s="17">
        <f t="shared" si="2"/>
        <v>0.44261280000000003</v>
      </c>
    </row>
    <row r="26" spans="1:11" ht="15" customHeight="1">
      <c r="C26" s="38" t="s">
        <v>51</v>
      </c>
      <c r="D26" s="24" t="s">
        <v>64</v>
      </c>
      <c r="E26" s="169">
        <v>1</v>
      </c>
      <c r="F26" s="209">
        <v>190.4</v>
      </c>
      <c r="G26" s="209">
        <v>19</v>
      </c>
      <c r="H26" s="209">
        <v>32.1</v>
      </c>
      <c r="I26" s="28">
        <f t="shared" si="0"/>
        <v>0.11612496000000001</v>
      </c>
      <c r="J26" s="35"/>
      <c r="K26" s="36">
        <f t="shared" si="2"/>
        <v>0.11612496000000001</v>
      </c>
    </row>
    <row r="27" spans="1:11" ht="15" customHeight="1">
      <c r="C27" s="38" t="s">
        <v>26</v>
      </c>
      <c r="D27" s="24" t="s">
        <v>65</v>
      </c>
      <c r="E27" s="169">
        <v>-4</v>
      </c>
      <c r="F27" s="209">
        <v>8</v>
      </c>
      <c r="G27" s="209">
        <v>12</v>
      </c>
      <c r="H27" s="209">
        <v>468.6</v>
      </c>
      <c r="I27" s="28">
        <f t="shared" si="0"/>
        <v>-0.17994240000000003</v>
      </c>
      <c r="J27" s="35">
        <f t="shared" si="1"/>
        <v>-0.17994240000000003</v>
      </c>
      <c r="K27" s="36">
        <f t="shared" si="2"/>
        <v>-0.17994240000000003</v>
      </c>
    </row>
    <row r="28" spans="1:11" ht="15" customHeight="1">
      <c r="C28" s="38" t="s">
        <v>27</v>
      </c>
      <c r="D28" s="24" t="s">
        <v>65</v>
      </c>
      <c r="E28" s="169">
        <v>-2</v>
      </c>
      <c r="F28" s="209">
        <v>10</v>
      </c>
      <c r="G28" s="209">
        <v>17.2</v>
      </c>
      <c r="H28" s="209">
        <v>336.3</v>
      </c>
      <c r="I28" s="28">
        <f t="shared" si="0"/>
        <v>-0.1156872</v>
      </c>
      <c r="J28" s="35">
        <f t="shared" si="1"/>
        <v>-0.1156872</v>
      </c>
      <c r="K28" s="36">
        <f t="shared" si="2"/>
        <v>-0.1156872</v>
      </c>
    </row>
    <row r="29" spans="1:11" ht="15" customHeight="1">
      <c r="A29" s="189"/>
      <c r="C29" s="38" t="s">
        <v>310</v>
      </c>
      <c r="D29" s="24" t="s">
        <v>66</v>
      </c>
      <c r="E29" s="169">
        <v>4</v>
      </c>
      <c r="F29" s="209">
        <v>6.5</v>
      </c>
      <c r="G29" s="209">
        <v>47</v>
      </c>
      <c r="H29" s="209">
        <v>425.6</v>
      </c>
      <c r="I29" s="28">
        <f>(E29*F29*G29*H29)/1000000</f>
        <v>0.52008319999999997</v>
      </c>
      <c r="J29" s="35"/>
      <c r="K29" s="36">
        <f t="shared" si="2"/>
        <v>0.52008319999999997</v>
      </c>
    </row>
    <row r="30" spans="1:11" ht="15" customHeight="1">
      <c r="A30" s="189"/>
      <c r="C30" s="38" t="s">
        <v>150</v>
      </c>
      <c r="D30" s="24" t="s">
        <v>66</v>
      </c>
      <c r="E30" s="169">
        <v>2</v>
      </c>
      <c r="F30" s="209">
        <v>6.2</v>
      </c>
      <c r="G30" s="209">
        <v>47</v>
      </c>
      <c r="H30" s="209">
        <v>344.7</v>
      </c>
      <c r="I30" s="28">
        <f>(E30*F30*G30*H30)/1000000</f>
        <v>0.20089116000000001</v>
      </c>
      <c r="J30" s="35"/>
      <c r="K30" s="36">
        <f t="shared" si="2"/>
        <v>0.20089116000000001</v>
      </c>
    </row>
    <row r="31" spans="1:11" ht="15" customHeight="1">
      <c r="C31" s="38" t="s">
        <v>28</v>
      </c>
      <c r="D31" s="24" t="s">
        <v>326</v>
      </c>
      <c r="E31" s="169">
        <v>-4</v>
      </c>
      <c r="F31" s="209">
        <v>15.1</v>
      </c>
      <c r="G31" s="209">
        <v>45.7</v>
      </c>
      <c r="H31" s="209">
        <v>370.3</v>
      </c>
      <c r="I31" s="28">
        <f t="shared" ref="I31:I32" si="3">(E31*F31*G31*H31)/1000000</f>
        <v>-1.0221316840000001</v>
      </c>
      <c r="J31" s="35">
        <f t="shared" ref="J31:J32" si="4">I31</f>
        <v>-1.0221316840000001</v>
      </c>
      <c r="K31" s="36"/>
    </row>
    <row r="32" spans="1:11" ht="15" customHeight="1">
      <c r="C32" s="38" t="s">
        <v>29</v>
      </c>
      <c r="D32" s="24" t="s">
        <v>326</v>
      </c>
      <c r="E32" s="169">
        <v>-2</v>
      </c>
      <c r="F32" s="209">
        <v>15.4</v>
      </c>
      <c r="G32" s="209">
        <v>45.7</v>
      </c>
      <c r="H32" s="209">
        <v>298.60000000000002</v>
      </c>
      <c r="I32" s="28">
        <f t="shared" si="3"/>
        <v>-0.42029741600000009</v>
      </c>
      <c r="J32" s="35">
        <f t="shared" si="4"/>
        <v>-0.42029741600000009</v>
      </c>
      <c r="K32" s="36"/>
    </row>
    <row r="33" spans="1:11" ht="15" customHeight="1">
      <c r="C33" s="318" t="s">
        <v>151</v>
      </c>
      <c r="D33" s="318" t="s">
        <v>20</v>
      </c>
      <c r="E33" s="170">
        <v>1</v>
      </c>
      <c r="F33" s="210">
        <v>681.8</v>
      </c>
      <c r="G33" s="210">
        <v>646.4</v>
      </c>
      <c r="H33" s="210">
        <v>17</v>
      </c>
      <c r="I33" s="16">
        <f t="shared" si="0"/>
        <v>7.492163839999999</v>
      </c>
      <c r="J33" s="7"/>
      <c r="K33" s="17">
        <f t="shared" ref="K33:K78" si="5">I33</f>
        <v>7.492163839999999</v>
      </c>
    </row>
    <row r="34" spans="1:11" ht="15" customHeight="1">
      <c r="C34" s="319"/>
      <c r="D34" s="319"/>
      <c r="E34" s="170">
        <v>-1</v>
      </c>
      <c r="F34" s="210">
        <v>664.1</v>
      </c>
      <c r="G34" s="210">
        <v>622.79999999999995</v>
      </c>
      <c r="H34" s="210">
        <v>17</v>
      </c>
      <c r="I34" s="28">
        <f t="shared" si="0"/>
        <v>-7.03122516</v>
      </c>
      <c r="J34" s="28"/>
      <c r="K34" s="17">
        <f t="shared" si="5"/>
        <v>-7.03122516</v>
      </c>
    </row>
    <row r="35" spans="1:11" ht="15" customHeight="1">
      <c r="C35" s="201" t="s">
        <v>152</v>
      </c>
      <c r="D35" s="46" t="s">
        <v>134</v>
      </c>
      <c r="E35" s="170">
        <v>2</v>
      </c>
      <c r="F35" s="210">
        <v>17.5</v>
      </c>
      <c r="G35" s="210">
        <v>646.4</v>
      </c>
      <c r="H35" s="210">
        <v>5.9</v>
      </c>
      <c r="I35" s="16">
        <f t="shared" si="0"/>
        <v>0.13348160000000001</v>
      </c>
      <c r="J35" s="7"/>
      <c r="K35" s="17">
        <f t="shared" si="5"/>
        <v>0.13348160000000001</v>
      </c>
    </row>
    <row r="36" spans="1:11" ht="15" customHeight="1">
      <c r="C36" s="201" t="s">
        <v>153</v>
      </c>
      <c r="D36" s="46" t="s">
        <v>69</v>
      </c>
      <c r="E36" s="170">
        <v>-1</v>
      </c>
      <c r="F36" s="210">
        <v>333.6</v>
      </c>
      <c r="G36" s="210">
        <v>44.3</v>
      </c>
      <c r="H36" s="210">
        <v>63.5</v>
      </c>
      <c r="I36" s="28">
        <f t="shared" si="0"/>
        <v>-0.93843347999999993</v>
      </c>
      <c r="J36" s="35">
        <f t="shared" ref="J36" si="6">I36</f>
        <v>-0.93843347999999993</v>
      </c>
      <c r="K36" s="17"/>
    </row>
    <row r="37" spans="1:11" ht="15" customHeight="1">
      <c r="C37" s="201" t="s">
        <v>154</v>
      </c>
      <c r="D37" s="46" t="s">
        <v>329</v>
      </c>
      <c r="E37" s="170"/>
      <c r="F37" s="210"/>
      <c r="G37" s="210"/>
      <c r="H37" s="210"/>
      <c r="I37" s="28"/>
      <c r="J37" s="35"/>
      <c r="K37" s="17"/>
    </row>
    <row r="38" spans="1:11" ht="15" customHeight="1">
      <c r="C38" s="201" t="s">
        <v>155</v>
      </c>
      <c r="D38" s="46" t="s">
        <v>330</v>
      </c>
      <c r="E38" s="170"/>
      <c r="F38" s="210"/>
      <c r="G38" s="210"/>
      <c r="H38" s="210"/>
      <c r="I38" s="28"/>
      <c r="J38" s="35"/>
      <c r="K38" s="17"/>
    </row>
    <row r="39" spans="1:11" ht="15" customHeight="1">
      <c r="A39" s="189"/>
      <c r="C39" s="201" t="s">
        <v>156</v>
      </c>
      <c r="D39" s="46" t="s">
        <v>70</v>
      </c>
      <c r="E39" s="170">
        <v>-1</v>
      </c>
      <c r="F39" s="210">
        <v>333.6</v>
      </c>
      <c r="G39" s="210">
        <v>102.7</v>
      </c>
      <c r="H39" s="210">
        <v>41.5</v>
      </c>
      <c r="I39" s="28">
        <f t="shared" si="0"/>
        <v>-1.4218198800000001</v>
      </c>
      <c r="J39" s="35">
        <f t="shared" ref="J39" si="7">I39</f>
        <v>-1.4218198800000001</v>
      </c>
      <c r="K39" s="17"/>
    </row>
    <row r="40" spans="1:11" ht="15" customHeight="1">
      <c r="C40" s="201" t="s">
        <v>157</v>
      </c>
      <c r="D40" s="46" t="s">
        <v>331</v>
      </c>
      <c r="E40" s="170"/>
      <c r="F40" s="210"/>
      <c r="G40" s="210"/>
      <c r="H40" s="210"/>
      <c r="I40" s="28"/>
      <c r="J40" s="35"/>
      <c r="K40" s="17"/>
    </row>
    <row r="41" spans="1:11" ht="15" customHeight="1">
      <c r="A41" s="189"/>
      <c r="C41" s="201" t="s">
        <v>158</v>
      </c>
      <c r="D41" s="46" t="s">
        <v>72</v>
      </c>
      <c r="E41" s="170">
        <v>-1</v>
      </c>
      <c r="F41" s="210">
        <v>345.1</v>
      </c>
      <c r="G41" s="210">
        <v>61.1</v>
      </c>
      <c r="H41" s="210">
        <v>41.5</v>
      </c>
      <c r="I41" s="28">
        <f t="shared" si="0"/>
        <v>-0.87505281500000009</v>
      </c>
      <c r="J41" s="35">
        <f t="shared" ref="J41:J54" si="8">I41</f>
        <v>-0.87505281500000009</v>
      </c>
      <c r="K41" s="17"/>
    </row>
    <row r="42" spans="1:11" ht="15" customHeight="1">
      <c r="C42" s="201" t="s">
        <v>159</v>
      </c>
      <c r="D42" s="46" t="s">
        <v>73</v>
      </c>
      <c r="E42" s="170">
        <v>-1</v>
      </c>
      <c r="F42" s="210">
        <v>345.1</v>
      </c>
      <c r="G42" s="210">
        <v>8.1999999999999993</v>
      </c>
      <c r="H42" s="210">
        <v>4.2</v>
      </c>
      <c r="I42" s="28">
        <f t="shared" si="0"/>
        <v>-1.1885244000000001E-2</v>
      </c>
      <c r="J42" s="35">
        <f t="shared" si="8"/>
        <v>-1.1885244000000001E-2</v>
      </c>
      <c r="K42" s="17"/>
    </row>
    <row r="43" spans="1:11" ht="15" customHeight="1">
      <c r="C43" s="201" t="s">
        <v>160</v>
      </c>
      <c r="D43" s="46" t="s">
        <v>74</v>
      </c>
      <c r="E43" s="170">
        <v>-1</v>
      </c>
      <c r="F43" s="210">
        <v>345.1</v>
      </c>
      <c r="G43" s="210">
        <v>12.7</v>
      </c>
      <c r="H43" s="210">
        <v>11</v>
      </c>
      <c r="I43" s="28">
        <f t="shared" si="0"/>
        <v>-4.8210469999999998E-2</v>
      </c>
      <c r="J43" s="35">
        <f t="shared" si="8"/>
        <v>-4.8210469999999998E-2</v>
      </c>
      <c r="K43" s="17"/>
    </row>
    <row r="44" spans="1:11" ht="15" customHeight="1">
      <c r="C44" s="201" t="s">
        <v>161</v>
      </c>
      <c r="D44" s="46" t="s">
        <v>75</v>
      </c>
      <c r="E44" s="170">
        <v>-1</v>
      </c>
      <c r="F44" s="210">
        <v>345.1</v>
      </c>
      <c r="G44" s="210">
        <v>19.2</v>
      </c>
      <c r="H44" s="210">
        <v>22</v>
      </c>
      <c r="I44" s="28">
        <f t="shared" si="0"/>
        <v>-0.14577024</v>
      </c>
      <c r="J44" s="35">
        <f t="shared" si="8"/>
        <v>-0.14577024</v>
      </c>
      <c r="K44" s="17"/>
    </row>
    <row r="45" spans="1:11" ht="15" customHeight="1">
      <c r="A45" s="189"/>
      <c r="C45" s="201" t="s">
        <v>162</v>
      </c>
      <c r="D45" s="46" t="s">
        <v>76</v>
      </c>
      <c r="E45" s="170">
        <v>-1</v>
      </c>
      <c r="F45" s="210">
        <v>345.1</v>
      </c>
      <c r="G45" s="210">
        <v>152.5</v>
      </c>
      <c r="H45" s="210">
        <v>8</v>
      </c>
      <c r="I45" s="28">
        <f t="shared" si="0"/>
        <v>-0.42102200000000001</v>
      </c>
      <c r="J45" s="35">
        <f t="shared" si="8"/>
        <v>-0.42102200000000001</v>
      </c>
      <c r="K45" s="17"/>
    </row>
    <row r="46" spans="1:11" ht="15" customHeight="1">
      <c r="C46" s="201" t="s">
        <v>163</v>
      </c>
      <c r="D46" s="46" t="s">
        <v>77</v>
      </c>
      <c r="E46" s="170">
        <v>-1</v>
      </c>
      <c r="F46" s="210">
        <v>345.1</v>
      </c>
      <c r="G46" s="210">
        <v>18</v>
      </c>
      <c r="H46" s="210">
        <v>8.3000000000000007</v>
      </c>
      <c r="I46" s="28">
        <f t="shared" si="0"/>
        <v>-5.1557940000000003E-2</v>
      </c>
      <c r="J46" s="35">
        <f t="shared" si="8"/>
        <v>-5.1557940000000003E-2</v>
      </c>
      <c r="K46" s="17"/>
    </row>
    <row r="47" spans="1:11" ht="15" customHeight="1">
      <c r="C47" s="201" t="s">
        <v>164</v>
      </c>
      <c r="D47" s="46" t="s">
        <v>78</v>
      </c>
      <c r="E47" s="170">
        <v>-1</v>
      </c>
      <c r="F47" s="210">
        <v>345.1</v>
      </c>
      <c r="G47" s="210">
        <v>11.2</v>
      </c>
      <c r="H47" s="210">
        <v>5.3</v>
      </c>
      <c r="I47" s="28">
        <f t="shared" si="0"/>
        <v>-2.0485135999999998E-2</v>
      </c>
      <c r="J47" s="35">
        <f t="shared" si="8"/>
        <v>-2.0485135999999998E-2</v>
      </c>
      <c r="K47" s="17"/>
    </row>
    <row r="48" spans="1:11" ht="15" customHeight="1">
      <c r="C48" s="201" t="s">
        <v>165</v>
      </c>
      <c r="D48" s="46" t="s">
        <v>79</v>
      </c>
      <c r="E48" s="170">
        <v>-1</v>
      </c>
      <c r="F48" s="210">
        <v>345.1</v>
      </c>
      <c r="G48" s="210">
        <v>19.7</v>
      </c>
      <c r="H48" s="210">
        <v>27</v>
      </c>
      <c r="I48" s="28">
        <f t="shared" si="0"/>
        <v>-0.18355869</v>
      </c>
      <c r="J48" s="35">
        <f t="shared" si="8"/>
        <v>-0.18355869</v>
      </c>
      <c r="K48" s="17"/>
    </row>
    <row r="49" spans="1:11" ht="15" customHeight="1">
      <c r="A49" s="189"/>
      <c r="C49" s="201" t="s">
        <v>166</v>
      </c>
      <c r="D49" s="46" t="s">
        <v>80</v>
      </c>
      <c r="E49" s="170">
        <v>-1</v>
      </c>
      <c r="F49" s="210">
        <v>345.1</v>
      </c>
      <c r="G49" s="176">
        <v>9.1999999999999993</v>
      </c>
      <c r="H49" s="210">
        <v>54</v>
      </c>
      <c r="I49" s="28">
        <f t="shared" si="0"/>
        <v>-0.17144567999999999</v>
      </c>
      <c r="J49" s="35">
        <f t="shared" si="8"/>
        <v>-0.17144567999999999</v>
      </c>
      <c r="K49" s="17"/>
    </row>
    <row r="50" spans="1:11" ht="15" customHeight="1">
      <c r="A50" s="189"/>
      <c r="C50" s="201" t="s">
        <v>167</v>
      </c>
      <c r="D50" s="46" t="s">
        <v>81</v>
      </c>
      <c r="E50" s="170">
        <v>-1</v>
      </c>
      <c r="F50" s="210">
        <v>540.4</v>
      </c>
      <c r="G50" s="176">
        <v>44.8</v>
      </c>
      <c r="H50" s="210">
        <v>34</v>
      </c>
      <c r="I50" s="28">
        <f t="shared" si="0"/>
        <v>-0.82313727999999986</v>
      </c>
      <c r="J50" s="35">
        <f t="shared" si="8"/>
        <v>-0.82313727999999986</v>
      </c>
      <c r="K50" s="17"/>
    </row>
    <row r="51" spans="1:11" ht="15" customHeight="1">
      <c r="A51" s="189"/>
      <c r="C51" s="201" t="s">
        <v>168</v>
      </c>
      <c r="D51" s="46" t="s">
        <v>82</v>
      </c>
      <c r="E51" s="170">
        <v>-1</v>
      </c>
      <c r="F51" s="210">
        <v>345.1</v>
      </c>
      <c r="G51" s="176">
        <v>8.9</v>
      </c>
      <c r="H51" s="210">
        <v>28</v>
      </c>
      <c r="I51" s="28">
        <f t="shared" si="0"/>
        <v>-8.5998920000000006E-2</v>
      </c>
      <c r="J51" s="35">
        <f t="shared" si="8"/>
        <v>-8.5998920000000006E-2</v>
      </c>
      <c r="K51" s="17"/>
    </row>
    <row r="52" spans="1:11" ht="15" customHeight="1">
      <c r="C52" s="201" t="s">
        <v>169</v>
      </c>
      <c r="D52" s="46" t="s">
        <v>327</v>
      </c>
      <c r="E52" s="170">
        <v>-1</v>
      </c>
      <c r="F52" s="210">
        <v>345.1</v>
      </c>
      <c r="G52" s="210">
        <v>35.299999999999997</v>
      </c>
      <c r="H52" s="210">
        <v>10</v>
      </c>
      <c r="I52" s="28">
        <f t="shared" si="0"/>
        <v>-0.12182030000000001</v>
      </c>
      <c r="J52" s="35">
        <f t="shared" si="8"/>
        <v>-0.12182030000000001</v>
      </c>
      <c r="K52" s="17"/>
    </row>
    <row r="53" spans="1:11" ht="15" customHeight="1">
      <c r="C53" s="201" t="s">
        <v>170</v>
      </c>
      <c r="D53" s="46" t="s">
        <v>83</v>
      </c>
      <c r="E53" s="170">
        <v>-1</v>
      </c>
      <c r="F53" s="210">
        <v>540.4</v>
      </c>
      <c r="G53" s="210">
        <v>36.6</v>
      </c>
      <c r="H53" s="210">
        <v>28.3</v>
      </c>
      <c r="I53" s="28">
        <f t="shared" si="0"/>
        <v>-0.55973551199999994</v>
      </c>
      <c r="J53" s="35">
        <f t="shared" si="8"/>
        <v>-0.55973551199999994</v>
      </c>
      <c r="K53" s="17"/>
    </row>
    <row r="54" spans="1:11" ht="15" customHeight="1">
      <c r="C54" s="201" t="s">
        <v>171</v>
      </c>
      <c r="D54" s="46" t="s">
        <v>328</v>
      </c>
      <c r="E54" s="170">
        <v>-1</v>
      </c>
      <c r="F54" s="210">
        <v>540.4</v>
      </c>
      <c r="G54" s="210">
        <v>36.6</v>
      </c>
      <c r="H54" s="210">
        <v>15.7</v>
      </c>
      <c r="I54" s="28">
        <f t="shared" si="0"/>
        <v>-0.31052464800000001</v>
      </c>
      <c r="J54" s="35">
        <f t="shared" si="8"/>
        <v>-0.31052464800000001</v>
      </c>
      <c r="K54" s="17"/>
    </row>
    <row r="55" spans="1:11" ht="15" customHeight="1">
      <c r="C55" s="201" t="s">
        <v>172</v>
      </c>
      <c r="D55" s="46" t="s">
        <v>332</v>
      </c>
      <c r="E55" s="170"/>
      <c r="F55" s="210"/>
      <c r="G55" s="211"/>
      <c r="H55" s="210"/>
      <c r="I55" s="28"/>
      <c r="J55" s="35"/>
      <c r="K55" s="17"/>
    </row>
    <row r="56" spans="1:11" ht="15" customHeight="1">
      <c r="C56" s="201" t="s">
        <v>173</v>
      </c>
      <c r="D56" s="46" t="s">
        <v>333</v>
      </c>
      <c r="E56" s="170"/>
      <c r="F56" s="210"/>
      <c r="G56" s="210"/>
      <c r="H56" s="210"/>
      <c r="I56" s="28"/>
      <c r="J56" s="35"/>
      <c r="K56" s="17"/>
    </row>
    <row r="57" spans="1:11" ht="15" customHeight="1">
      <c r="C57" s="201" t="s">
        <v>174</v>
      </c>
      <c r="D57" s="46" t="s">
        <v>334</v>
      </c>
      <c r="E57" s="170"/>
      <c r="F57" s="210"/>
      <c r="G57" s="210"/>
      <c r="H57" s="210"/>
      <c r="I57" s="28"/>
      <c r="J57" s="35"/>
      <c r="K57" s="17"/>
    </row>
    <row r="58" spans="1:11" ht="15" customHeight="1">
      <c r="C58" s="201" t="s">
        <v>175</v>
      </c>
      <c r="D58" s="46" t="s">
        <v>84</v>
      </c>
      <c r="E58" s="170">
        <v>-2</v>
      </c>
      <c r="F58" s="210">
        <v>14</v>
      </c>
      <c r="G58" s="210">
        <v>6.6</v>
      </c>
      <c r="H58" s="212">
        <f>54+88.2+103.5</f>
        <v>245.7</v>
      </c>
      <c r="I58" s="28">
        <f t="shared" si="0"/>
        <v>-4.5405359999999992E-2</v>
      </c>
      <c r="J58" s="35">
        <f t="shared" ref="J58" si="9">I58</f>
        <v>-4.5405359999999992E-2</v>
      </c>
      <c r="K58" s="17">
        <f t="shared" si="5"/>
        <v>-4.5405359999999992E-2</v>
      </c>
    </row>
    <row r="59" spans="1:11" ht="15" customHeight="1">
      <c r="C59" s="201" t="s">
        <v>176</v>
      </c>
      <c r="D59" s="15" t="s">
        <v>321</v>
      </c>
      <c r="E59" s="170">
        <v>1</v>
      </c>
      <c r="F59" s="210">
        <v>526.79999999999995</v>
      </c>
      <c r="G59" s="210">
        <v>404.2</v>
      </c>
      <c r="H59" s="210">
        <v>93</v>
      </c>
      <c r="I59" s="28">
        <f t="shared" si="0"/>
        <v>19.802728079999998</v>
      </c>
      <c r="J59" s="28"/>
      <c r="K59" s="17">
        <f t="shared" si="5"/>
        <v>19.802728079999998</v>
      </c>
    </row>
    <row r="60" spans="1:11" ht="15" customHeight="1">
      <c r="C60" s="201" t="s">
        <v>177</v>
      </c>
      <c r="D60" s="15" t="s">
        <v>322</v>
      </c>
      <c r="E60" s="170">
        <v>-1</v>
      </c>
      <c r="F60" s="210">
        <v>526.79999999999995</v>
      </c>
      <c r="G60" s="210">
        <v>17.3</v>
      </c>
      <c r="H60" s="210">
        <v>93</v>
      </c>
      <c r="I60" s="28">
        <f t="shared" si="0"/>
        <v>-0.84756851999999994</v>
      </c>
      <c r="J60" s="28"/>
      <c r="K60" s="17">
        <f t="shared" si="5"/>
        <v>-0.84756851999999994</v>
      </c>
    </row>
    <row r="61" spans="1:11" ht="15" customHeight="1">
      <c r="C61" s="201" t="s">
        <v>178</v>
      </c>
      <c r="D61" s="15" t="s">
        <v>322</v>
      </c>
      <c r="E61" s="170">
        <v>-1</v>
      </c>
      <c r="F61" s="210">
        <v>5.4</v>
      </c>
      <c r="G61" s="210">
        <v>243</v>
      </c>
      <c r="H61" s="210">
        <v>1.4</v>
      </c>
      <c r="I61" s="28">
        <f t="shared" si="0"/>
        <v>-1.8370799999999998E-3</v>
      </c>
      <c r="J61" s="28"/>
      <c r="K61" s="17">
        <f t="shared" si="5"/>
        <v>-1.8370799999999998E-3</v>
      </c>
    </row>
    <row r="62" spans="1:11" ht="15" customHeight="1">
      <c r="C62" s="201" t="s">
        <v>179</v>
      </c>
      <c r="D62" s="15" t="s">
        <v>323</v>
      </c>
      <c r="E62" s="170">
        <v>-1</v>
      </c>
      <c r="F62" s="210">
        <v>19</v>
      </c>
      <c r="G62" s="176">
        <v>313.60000000000002</v>
      </c>
      <c r="H62" s="210">
        <v>4.7</v>
      </c>
      <c r="I62" s="28">
        <f t="shared" si="0"/>
        <v>-2.8004480000000002E-2</v>
      </c>
      <c r="J62" s="28"/>
      <c r="K62" s="17">
        <f t="shared" si="5"/>
        <v>-2.8004480000000002E-2</v>
      </c>
    </row>
    <row r="63" spans="1:11" ht="15" customHeight="1">
      <c r="C63" s="201" t="s">
        <v>180</v>
      </c>
      <c r="D63" s="15" t="s">
        <v>322</v>
      </c>
      <c r="E63" s="170">
        <v>1</v>
      </c>
      <c r="F63" s="210">
        <v>526.79999999999995</v>
      </c>
      <c r="G63" s="210">
        <v>95</v>
      </c>
      <c r="H63" s="210">
        <v>6</v>
      </c>
      <c r="I63" s="28">
        <f t="shared" si="0"/>
        <v>0.30027599999999993</v>
      </c>
      <c r="J63" s="28"/>
      <c r="K63" s="17">
        <f t="shared" si="5"/>
        <v>0.30027599999999993</v>
      </c>
    </row>
    <row r="64" spans="1:11" ht="15" customHeight="1">
      <c r="C64" s="201" t="s">
        <v>181</v>
      </c>
      <c r="D64" s="15" t="s">
        <v>322</v>
      </c>
      <c r="E64" s="170">
        <v>-2</v>
      </c>
      <c r="F64" s="210">
        <v>40</v>
      </c>
      <c r="G64" s="210">
        <v>29.4</v>
      </c>
      <c r="H64" s="210">
        <v>6</v>
      </c>
      <c r="I64" s="16">
        <f>(E64*F64*G64*H64)/1000000</f>
        <v>-1.4112E-2</v>
      </c>
      <c r="J64" s="7"/>
      <c r="K64" s="17">
        <f t="shared" si="5"/>
        <v>-1.4112E-2</v>
      </c>
    </row>
    <row r="65" spans="3:11" ht="15" customHeight="1">
      <c r="C65" s="201" t="s">
        <v>182</v>
      </c>
      <c r="D65" s="15" t="s">
        <v>322</v>
      </c>
      <c r="E65" s="170">
        <v>-1</v>
      </c>
      <c r="F65" s="210">
        <v>78.099999999999994</v>
      </c>
      <c r="G65" s="210">
        <v>28.2</v>
      </c>
      <c r="H65" s="210">
        <v>6</v>
      </c>
      <c r="I65" s="16">
        <f t="shared" ref="I65:I78" si="10">(E65*F65*G65*H65)/1000000</f>
        <v>-1.3214519999999997E-2</v>
      </c>
      <c r="J65" s="28"/>
      <c r="K65" s="17">
        <f t="shared" si="5"/>
        <v>-1.3214519999999997E-2</v>
      </c>
    </row>
    <row r="66" spans="3:11" ht="15" customHeight="1">
      <c r="C66" s="201" t="s">
        <v>183</v>
      </c>
      <c r="D66" s="15" t="s">
        <v>322</v>
      </c>
      <c r="E66" s="170">
        <v>-1</v>
      </c>
      <c r="F66" s="210">
        <v>19</v>
      </c>
      <c r="G66" s="176">
        <v>78.900000000000006</v>
      </c>
      <c r="H66" s="210">
        <v>4.7</v>
      </c>
      <c r="I66" s="16">
        <f t="shared" si="10"/>
        <v>-7.0457700000000015E-3</v>
      </c>
      <c r="J66" s="28"/>
      <c r="K66" s="17">
        <f t="shared" si="5"/>
        <v>-7.0457700000000015E-3</v>
      </c>
    </row>
    <row r="67" spans="3:11" ht="15" customHeight="1">
      <c r="C67" s="201" t="s">
        <v>184</v>
      </c>
      <c r="D67" s="15" t="s">
        <v>323</v>
      </c>
      <c r="E67" s="170">
        <v>-1</v>
      </c>
      <c r="F67" s="210">
        <v>19</v>
      </c>
      <c r="G67" s="176">
        <v>107.1</v>
      </c>
      <c r="H67" s="210">
        <v>4.7</v>
      </c>
      <c r="I67" s="16">
        <f t="shared" si="10"/>
        <v>-9.5640299999999994E-3</v>
      </c>
      <c r="J67" s="28"/>
      <c r="K67" s="17">
        <f t="shared" si="5"/>
        <v>-9.5640299999999994E-3</v>
      </c>
    </row>
    <row r="68" spans="3:11" ht="15" customHeight="1">
      <c r="C68" s="201" t="s">
        <v>185</v>
      </c>
      <c r="D68" s="15" t="s">
        <v>324</v>
      </c>
      <c r="E68" s="170">
        <v>1</v>
      </c>
      <c r="F68" s="210">
        <v>526.79999999999995</v>
      </c>
      <c r="G68" s="210">
        <v>12.8</v>
      </c>
      <c r="H68" s="210">
        <v>91.4</v>
      </c>
      <c r="I68" s="16">
        <f t="shared" si="10"/>
        <v>0.61631385599999999</v>
      </c>
      <c r="J68" s="28"/>
      <c r="K68" s="17">
        <f t="shared" si="5"/>
        <v>0.61631385599999999</v>
      </c>
    </row>
    <row r="69" spans="3:11" ht="15" customHeight="1">
      <c r="C69" s="201" t="s">
        <v>186</v>
      </c>
      <c r="D69" s="15" t="s">
        <v>324</v>
      </c>
      <c r="E69" s="169">
        <v>1</v>
      </c>
      <c r="F69" s="209">
        <v>528.70000000000005</v>
      </c>
      <c r="G69" s="209">
        <v>8.1</v>
      </c>
      <c r="H69" s="209">
        <v>86</v>
      </c>
      <c r="I69" s="16">
        <f t="shared" si="10"/>
        <v>0.36829242000000006</v>
      </c>
      <c r="J69" s="35"/>
      <c r="K69" s="36">
        <f t="shared" si="5"/>
        <v>0.36829242000000006</v>
      </c>
    </row>
    <row r="70" spans="3:11" ht="15" customHeight="1">
      <c r="C70" s="201" t="s">
        <v>187</v>
      </c>
      <c r="D70" s="15" t="s">
        <v>322</v>
      </c>
      <c r="E70" s="169">
        <v>2</v>
      </c>
      <c r="F70" s="209">
        <v>2.7</v>
      </c>
      <c r="G70" s="240">
        <f>66+12.8</f>
        <v>78.8</v>
      </c>
      <c r="H70" s="209">
        <v>76.400000000000006</v>
      </c>
      <c r="I70" s="16">
        <f t="shared" si="10"/>
        <v>3.2509728000000009E-2</v>
      </c>
      <c r="J70" s="35"/>
      <c r="K70" s="36">
        <f t="shared" si="5"/>
        <v>3.2509728000000009E-2</v>
      </c>
    </row>
    <row r="71" spans="3:11" ht="15" customHeight="1">
      <c r="C71" s="201" t="s">
        <v>188</v>
      </c>
      <c r="D71" s="15" t="s">
        <v>325</v>
      </c>
      <c r="E71" s="169">
        <v>-1</v>
      </c>
      <c r="F71" s="209">
        <v>18.8</v>
      </c>
      <c r="G71" s="209">
        <v>230.3</v>
      </c>
      <c r="H71" s="209">
        <v>24</v>
      </c>
      <c r="I71" s="16">
        <f t="shared" si="10"/>
        <v>-0.10391136000000002</v>
      </c>
      <c r="J71" s="35"/>
      <c r="K71" s="36">
        <f t="shared" si="5"/>
        <v>-0.10391136000000002</v>
      </c>
    </row>
    <row r="72" spans="3:11" ht="15" customHeight="1">
      <c r="C72" s="201" t="s">
        <v>189</v>
      </c>
      <c r="D72" s="15" t="s">
        <v>322</v>
      </c>
      <c r="E72" s="169">
        <v>-1</v>
      </c>
      <c r="F72" s="209">
        <v>21.9</v>
      </c>
      <c r="G72" s="209">
        <v>51.8</v>
      </c>
      <c r="H72" s="209">
        <v>24</v>
      </c>
      <c r="I72" s="16">
        <f t="shared" si="10"/>
        <v>-2.7226079999999993E-2</v>
      </c>
      <c r="J72" s="35"/>
      <c r="K72" s="36">
        <f t="shared" si="5"/>
        <v>-2.7226079999999993E-2</v>
      </c>
    </row>
    <row r="73" spans="3:11" ht="15" customHeight="1">
      <c r="C73" s="201" t="s">
        <v>190</v>
      </c>
      <c r="D73" s="15" t="s">
        <v>322</v>
      </c>
      <c r="E73" s="169">
        <v>-1</v>
      </c>
      <c r="F73" s="209">
        <v>81.7</v>
      </c>
      <c r="G73" s="209">
        <v>104.2</v>
      </c>
      <c r="H73" s="209">
        <v>19.7</v>
      </c>
      <c r="I73" s="16">
        <f t="shared" si="10"/>
        <v>-0.16770885800000002</v>
      </c>
      <c r="J73" s="35"/>
      <c r="K73" s="36">
        <f t="shared" si="5"/>
        <v>-0.16770885800000002</v>
      </c>
    </row>
    <row r="74" spans="3:11" ht="15" customHeight="1">
      <c r="C74" s="201" t="s">
        <v>191</v>
      </c>
      <c r="D74" s="15" t="s">
        <v>322</v>
      </c>
      <c r="E74" s="169">
        <v>1</v>
      </c>
      <c r="F74" s="209">
        <v>26.3</v>
      </c>
      <c r="G74" s="209">
        <v>17.600000000000001</v>
      </c>
      <c r="H74" s="209">
        <v>19.7</v>
      </c>
      <c r="I74" s="16">
        <f t="shared" si="10"/>
        <v>9.1187360000000005E-3</v>
      </c>
      <c r="J74" s="35"/>
      <c r="K74" s="36">
        <f t="shared" si="5"/>
        <v>9.1187360000000005E-3</v>
      </c>
    </row>
    <row r="75" spans="3:11" ht="15" customHeight="1">
      <c r="C75" s="201" t="s">
        <v>192</v>
      </c>
      <c r="D75" s="15" t="s">
        <v>322</v>
      </c>
      <c r="E75" s="169">
        <v>1</v>
      </c>
      <c r="F75" s="209">
        <v>131.4</v>
      </c>
      <c r="G75" s="209">
        <v>96</v>
      </c>
      <c r="H75" s="209">
        <v>4</v>
      </c>
      <c r="I75" s="16">
        <f t="shared" si="10"/>
        <v>5.0457600000000005E-2</v>
      </c>
      <c r="J75" s="35"/>
      <c r="K75" s="36">
        <f t="shared" si="5"/>
        <v>5.0457600000000005E-2</v>
      </c>
    </row>
    <row r="76" spans="3:11" ht="15" customHeight="1">
      <c r="C76" s="201" t="s">
        <v>193</v>
      </c>
      <c r="D76" s="15" t="s">
        <v>321</v>
      </c>
      <c r="E76" s="169">
        <v>1</v>
      </c>
      <c r="F76" s="174">
        <v>66</v>
      </c>
      <c r="G76" s="174">
        <v>37</v>
      </c>
      <c r="H76" s="209">
        <v>5</v>
      </c>
      <c r="I76" s="16">
        <f t="shared" si="10"/>
        <v>1.221E-2</v>
      </c>
      <c r="J76" s="35"/>
      <c r="K76" s="36">
        <f t="shared" si="5"/>
        <v>1.221E-2</v>
      </c>
    </row>
    <row r="77" spans="3:11" ht="15" customHeight="1">
      <c r="C77" s="201" t="s">
        <v>194</v>
      </c>
      <c r="D77" s="15" t="s">
        <v>322</v>
      </c>
      <c r="E77" s="169">
        <v>3</v>
      </c>
      <c r="F77" s="209">
        <v>210.9</v>
      </c>
      <c r="G77" s="209">
        <v>6.1</v>
      </c>
      <c r="H77" s="209">
        <v>4.5</v>
      </c>
      <c r="I77" s="16">
        <f t="shared" si="10"/>
        <v>1.7367615000000003E-2</v>
      </c>
      <c r="J77" s="35"/>
      <c r="K77" s="36">
        <f t="shared" si="5"/>
        <v>1.7367615000000003E-2</v>
      </c>
    </row>
    <row r="78" spans="3:11" ht="15" customHeight="1">
      <c r="C78" s="3" t="s">
        <v>353</v>
      </c>
      <c r="D78" s="18" t="s">
        <v>354</v>
      </c>
      <c r="E78" s="171">
        <v>1</v>
      </c>
      <c r="F78" s="239">
        <v>18.899999999999999</v>
      </c>
      <c r="G78" s="239">
        <v>84</v>
      </c>
      <c r="H78" s="239">
        <v>6</v>
      </c>
      <c r="I78" s="28">
        <f t="shared" si="10"/>
        <v>9.5255999999999987E-3</v>
      </c>
      <c r="J78" s="29"/>
      <c r="K78" s="20">
        <f t="shared" si="5"/>
        <v>9.5255999999999987E-3</v>
      </c>
    </row>
    <row r="79" spans="3:11" s="54" customFormat="1" ht="15" customHeight="1">
      <c r="C79" s="40"/>
      <c r="D79" s="40"/>
      <c r="E79" s="40"/>
      <c r="F79" s="41"/>
      <c r="G79" s="41"/>
      <c r="H79" s="41"/>
      <c r="I79" s="40"/>
      <c r="J79" s="47">
        <f>ROUND(SUM(J16:J78),1)</f>
        <v>177.9</v>
      </c>
      <c r="K79" s="48">
        <f>ROUND(SUM(K16:K78),1)</f>
        <v>206.9</v>
      </c>
    </row>
    <row r="80" spans="3:11" ht="15" customHeight="1">
      <c r="C80" s="4"/>
      <c r="D80" s="4"/>
      <c r="E80" s="21"/>
      <c r="F80" s="22"/>
      <c r="G80" s="22"/>
      <c r="H80" s="22"/>
      <c r="I80" s="11"/>
      <c r="J80" s="11"/>
      <c r="K80" s="11"/>
    </row>
    <row r="81" spans="1:11" ht="15" customHeight="1">
      <c r="C81" s="4"/>
      <c r="D81" s="4"/>
      <c r="E81" s="21"/>
      <c r="F81" s="22"/>
      <c r="G81" s="22"/>
      <c r="H81" s="22"/>
      <c r="I81" s="11"/>
      <c r="J81" s="11"/>
      <c r="K81" s="11"/>
    </row>
    <row r="82" spans="1:11" ht="15" customHeight="1">
      <c r="C82" s="2"/>
      <c r="D82" s="2" t="s">
        <v>15</v>
      </c>
      <c r="E82" s="9"/>
      <c r="F82" s="9"/>
      <c r="G82" s="9"/>
      <c r="H82" s="9"/>
      <c r="I82" s="9"/>
      <c r="J82" s="9"/>
      <c r="K82" s="9"/>
    </row>
    <row r="83" spans="1:11" ht="15" customHeight="1">
      <c r="C83" s="320" t="s">
        <v>0</v>
      </c>
      <c r="D83" s="321" t="s">
        <v>1</v>
      </c>
      <c r="E83" s="167" t="s">
        <v>55</v>
      </c>
      <c r="F83" s="327" t="s">
        <v>4</v>
      </c>
      <c r="G83" s="327"/>
      <c r="H83" s="328"/>
      <c r="I83" s="338" t="s">
        <v>18</v>
      </c>
      <c r="J83" s="339" t="s">
        <v>17</v>
      </c>
      <c r="K83" s="340"/>
    </row>
    <row r="84" spans="1:11" ht="15" customHeight="1">
      <c r="C84" s="317"/>
      <c r="D84" s="326"/>
      <c r="E84" s="12"/>
      <c r="F84" s="23" t="s">
        <v>7</v>
      </c>
      <c r="G84" s="13" t="s">
        <v>2</v>
      </c>
      <c r="H84" s="13" t="s">
        <v>3</v>
      </c>
      <c r="I84" s="326"/>
      <c r="J84" s="37" t="s">
        <v>11</v>
      </c>
      <c r="K84" s="205" t="s">
        <v>5</v>
      </c>
    </row>
    <row r="85" spans="1:11" ht="15" customHeight="1">
      <c r="C85" s="6" t="s">
        <v>12</v>
      </c>
      <c r="D85" s="14" t="s">
        <v>85</v>
      </c>
      <c r="E85" s="169">
        <v>1</v>
      </c>
      <c r="F85" s="208">
        <v>681.2</v>
      </c>
      <c r="G85" s="208">
        <v>943.2</v>
      </c>
      <c r="H85" s="208">
        <v>565.5</v>
      </c>
      <c r="I85" s="32">
        <f t="shared" ref="I85:I152" si="11">(E85*F85*G85*H85)/1000000</f>
        <v>363.33818352000003</v>
      </c>
      <c r="J85" s="33">
        <f t="shared" ref="J85:J109" si="12">I85</f>
        <v>363.33818352000003</v>
      </c>
      <c r="K85" s="34">
        <f t="shared" ref="K85:K108" si="13">I85</f>
        <v>363.33818352000003</v>
      </c>
    </row>
    <row r="86" spans="1:11" ht="15" customHeight="1">
      <c r="C86" s="7" t="s">
        <v>13</v>
      </c>
      <c r="D86" s="24" t="s">
        <v>86</v>
      </c>
      <c r="E86" s="169">
        <v>-2</v>
      </c>
      <c r="F86" s="209">
        <v>46.3</v>
      </c>
      <c r="G86" s="209">
        <v>895.4</v>
      </c>
      <c r="H86" s="209">
        <v>15.1</v>
      </c>
      <c r="I86" s="28">
        <f t="shared" si="11"/>
        <v>-1.2520020039999999</v>
      </c>
      <c r="J86" s="35">
        <f t="shared" si="12"/>
        <v>-1.2520020039999999</v>
      </c>
      <c r="K86" s="36">
        <f t="shared" si="13"/>
        <v>-1.2520020039999999</v>
      </c>
    </row>
    <row r="87" spans="1:11" ht="15" customHeight="1">
      <c r="C87" s="7" t="s">
        <v>14</v>
      </c>
      <c r="D87" s="24" t="s">
        <v>87</v>
      </c>
      <c r="E87" s="169">
        <v>-1</v>
      </c>
      <c r="F87" s="209">
        <v>676.5</v>
      </c>
      <c r="G87" s="209">
        <v>22.8</v>
      </c>
      <c r="H87" s="209">
        <v>45.5</v>
      </c>
      <c r="I87" s="28">
        <f t="shared" si="11"/>
        <v>-0.70180109999999996</v>
      </c>
      <c r="J87" s="35">
        <f t="shared" si="12"/>
        <v>-0.70180109999999996</v>
      </c>
      <c r="K87" s="36">
        <f t="shared" si="13"/>
        <v>-0.70180109999999996</v>
      </c>
    </row>
    <row r="88" spans="1:11" ht="15" customHeight="1">
      <c r="C88" s="7" t="s">
        <v>30</v>
      </c>
      <c r="D88" s="24" t="s">
        <v>88</v>
      </c>
      <c r="E88" s="169">
        <v>-2</v>
      </c>
      <c r="F88" s="209">
        <v>20.100000000000001</v>
      </c>
      <c r="G88" s="209">
        <v>10.1</v>
      </c>
      <c r="H88" s="209">
        <v>520</v>
      </c>
      <c r="I88" s="28">
        <f t="shared" si="11"/>
        <v>-0.21113040000000002</v>
      </c>
      <c r="J88" s="35">
        <f t="shared" si="12"/>
        <v>-0.21113040000000002</v>
      </c>
      <c r="K88" s="36">
        <f t="shared" si="13"/>
        <v>-0.21113040000000002</v>
      </c>
    </row>
    <row r="89" spans="1:11" ht="15" customHeight="1">
      <c r="C89" s="7" t="s">
        <v>31</v>
      </c>
      <c r="D89" s="24" t="s">
        <v>89</v>
      </c>
      <c r="E89" s="169">
        <v>-1</v>
      </c>
      <c r="F89" s="209">
        <v>588</v>
      </c>
      <c r="G89" s="209">
        <v>0.5</v>
      </c>
      <c r="H89" s="209">
        <v>457.8</v>
      </c>
      <c r="I89" s="28">
        <f t="shared" si="11"/>
        <v>-0.13459320000000002</v>
      </c>
      <c r="J89" s="35">
        <f t="shared" si="12"/>
        <v>-0.13459320000000002</v>
      </c>
      <c r="K89" s="36">
        <f t="shared" si="13"/>
        <v>-0.13459320000000002</v>
      </c>
    </row>
    <row r="90" spans="1:11" ht="13.5">
      <c r="C90" s="7" t="s">
        <v>32</v>
      </c>
      <c r="D90" s="24" t="s">
        <v>90</v>
      </c>
      <c r="E90" s="169">
        <v>-2</v>
      </c>
      <c r="F90" s="209">
        <v>0.5</v>
      </c>
      <c r="G90" s="238">
        <f>42+56+126+84</f>
        <v>308</v>
      </c>
      <c r="H90" s="209">
        <v>400.8</v>
      </c>
      <c r="I90" s="28">
        <f t="shared" si="11"/>
        <v>-0.12344640000000001</v>
      </c>
      <c r="J90" s="35">
        <f t="shared" si="12"/>
        <v>-0.12344640000000001</v>
      </c>
      <c r="K90" s="36">
        <f t="shared" si="13"/>
        <v>-0.12344640000000001</v>
      </c>
    </row>
    <row r="91" spans="1:11" ht="15" customHeight="1">
      <c r="A91" s="189"/>
      <c r="C91" s="7" t="s">
        <v>33</v>
      </c>
      <c r="D91" s="24" t="s">
        <v>91</v>
      </c>
      <c r="E91" s="169">
        <v>-2</v>
      </c>
      <c r="F91" s="209">
        <v>3.4</v>
      </c>
      <c r="G91" s="209">
        <v>153</v>
      </c>
      <c r="H91" s="209">
        <v>494.9</v>
      </c>
      <c r="I91" s="28">
        <f t="shared" si="11"/>
        <v>-0.51489395999999987</v>
      </c>
      <c r="J91" s="35">
        <f t="shared" si="12"/>
        <v>-0.51489395999999987</v>
      </c>
      <c r="K91" s="36">
        <f t="shared" si="13"/>
        <v>-0.51489395999999987</v>
      </c>
    </row>
    <row r="92" spans="1:11" ht="15" customHeight="1">
      <c r="C92" s="241" t="s">
        <v>355</v>
      </c>
      <c r="D92" s="24" t="s">
        <v>91</v>
      </c>
      <c r="E92" s="169">
        <v>-2</v>
      </c>
      <c r="F92" s="177">
        <v>3.4</v>
      </c>
      <c r="G92" s="177">
        <v>47</v>
      </c>
      <c r="H92" s="177">
        <v>28.9</v>
      </c>
      <c r="I92" s="28">
        <f t="shared" ref="I92:I93" si="14">(E92*F92*G92*H92)/1000000</f>
        <v>-9.2364399999999985E-3</v>
      </c>
      <c r="J92" s="35">
        <f t="shared" ref="J92:J93" si="15">I92</f>
        <v>-9.2364399999999985E-3</v>
      </c>
      <c r="K92" s="36">
        <f t="shared" ref="K92:K93" si="16">I92</f>
        <v>-9.2364399999999985E-3</v>
      </c>
    </row>
    <row r="93" spans="1:11" ht="15" customHeight="1">
      <c r="C93" s="241" t="s">
        <v>356</v>
      </c>
      <c r="D93" s="24" t="s">
        <v>91</v>
      </c>
      <c r="E93" s="169">
        <v>-2</v>
      </c>
      <c r="F93" s="177">
        <v>3.4</v>
      </c>
      <c r="G93" s="177">
        <v>36.1</v>
      </c>
      <c r="H93" s="177">
        <v>494.9</v>
      </c>
      <c r="I93" s="28">
        <f t="shared" si="14"/>
        <v>-0.121488052</v>
      </c>
      <c r="J93" s="35">
        <f t="shared" si="15"/>
        <v>-0.121488052</v>
      </c>
      <c r="K93" s="36">
        <f t="shared" si="16"/>
        <v>-0.121488052</v>
      </c>
    </row>
    <row r="94" spans="1:11" ht="15" customHeight="1">
      <c r="C94" s="241" t="s">
        <v>357</v>
      </c>
      <c r="D94" s="24" t="s">
        <v>127</v>
      </c>
      <c r="E94" s="169">
        <v>2</v>
      </c>
      <c r="F94" s="177">
        <v>3.4</v>
      </c>
      <c r="G94" s="177">
        <v>11.6</v>
      </c>
      <c r="H94" s="177">
        <v>100</v>
      </c>
      <c r="I94" s="28">
        <f t="shared" ref="I94:I95" si="17">(E94*F94*G94*H94)/1000000</f>
        <v>7.8879999999999992E-3</v>
      </c>
      <c r="J94" s="35">
        <f t="shared" ref="J94:J95" si="18">I94</f>
        <v>7.8879999999999992E-3</v>
      </c>
      <c r="K94" s="36">
        <f t="shared" ref="K94:K95" si="19">I94</f>
        <v>7.8879999999999992E-3</v>
      </c>
    </row>
    <row r="95" spans="1:11" ht="15" customHeight="1">
      <c r="C95" s="241" t="s">
        <v>358</v>
      </c>
      <c r="D95" s="24" t="s">
        <v>91</v>
      </c>
      <c r="E95" s="169">
        <v>-2</v>
      </c>
      <c r="F95" s="177">
        <v>3.4</v>
      </c>
      <c r="G95" s="177">
        <v>47</v>
      </c>
      <c r="H95" s="177">
        <v>100.8</v>
      </c>
      <c r="I95" s="28">
        <f t="shared" si="17"/>
        <v>-3.2215679999999997E-2</v>
      </c>
      <c r="J95" s="35">
        <f t="shared" si="18"/>
        <v>-3.2215679999999997E-2</v>
      </c>
      <c r="K95" s="36">
        <f t="shared" si="19"/>
        <v>-3.2215679999999997E-2</v>
      </c>
    </row>
    <row r="96" spans="1:11" ht="15" customHeight="1">
      <c r="C96" s="7" t="s">
        <v>34</v>
      </c>
      <c r="D96" s="24" t="s">
        <v>21</v>
      </c>
      <c r="E96" s="169">
        <v>1</v>
      </c>
      <c r="F96" s="209">
        <v>646.20000000000005</v>
      </c>
      <c r="G96" s="209">
        <v>142</v>
      </c>
      <c r="H96" s="209">
        <v>59</v>
      </c>
      <c r="I96" s="28">
        <f t="shared" si="11"/>
        <v>5.4138636000000009</v>
      </c>
      <c r="J96" s="35">
        <f t="shared" si="12"/>
        <v>5.4138636000000009</v>
      </c>
      <c r="K96" s="36">
        <f t="shared" si="13"/>
        <v>5.4138636000000009</v>
      </c>
    </row>
    <row r="97" spans="1:11" ht="15" customHeight="1">
      <c r="C97" s="7" t="s">
        <v>19</v>
      </c>
      <c r="D97" s="24" t="s">
        <v>96</v>
      </c>
      <c r="E97" s="169">
        <v>1</v>
      </c>
      <c r="F97" s="209">
        <v>646.20000000000005</v>
      </c>
      <c r="G97" s="209">
        <v>2.2999999999999998</v>
      </c>
      <c r="H97" s="209">
        <v>14</v>
      </c>
      <c r="I97" s="28">
        <f t="shared" si="11"/>
        <v>2.0807639999999999E-2</v>
      </c>
      <c r="J97" s="35">
        <f t="shared" si="12"/>
        <v>2.0807639999999999E-2</v>
      </c>
      <c r="K97" s="36">
        <f t="shared" si="13"/>
        <v>2.0807639999999999E-2</v>
      </c>
    </row>
    <row r="98" spans="1:11" ht="15" customHeight="1">
      <c r="C98" s="7" t="s">
        <v>35</v>
      </c>
      <c r="D98" s="24" t="s">
        <v>38</v>
      </c>
      <c r="E98" s="169">
        <v>1</v>
      </c>
      <c r="F98" s="209">
        <v>646.20000000000005</v>
      </c>
      <c r="G98" s="209">
        <v>374</v>
      </c>
      <c r="H98" s="209">
        <v>59</v>
      </c>
      <c r="I98" s="28">
        <f t="shared" si="11"/>
        <v>14.259049200000002</v>
      </c>
      <c r="J98" s="35">
        <f t="shared" si="12"/>
        <v>14.259049200000002</v>
      </c>
      <c r="K98" s="36">
        <f t="shared" si="13"/>
        <v>14.259049200000002</v>
      </c>
    </row>
    <row r="99" spans="1:11" ht="15" customHeight="1">
      <c r="C99" s="241" t="s">
        <v>195</v>
      </c>
      <c r="D99" s="24" t="s">
        <v>39</v>
      </c>
      <c r="E99" s="169">
        <v>1</v>
      </c>
      <c r="F99" s="209">
        <v>646.20000000000005</v>
      </c>
      <c r="G99" s="177">
        <v>355.8</v>
      </c>
      <c r="H99" s="209">
        <v>54</v>
      </c>
      <c r="I99" s="28">
        <f t="shared" si="11"/>
        <v>12.415569840000002</v>
      </c>
      <c r="J99" s="35">
        <f t="shared" si="12"/>
        <v>12.415569840000002</v>
      </c>
      <c r="K99" s="36">
        <f t="shared" si="13"/>
        <v>12.415569840000002</v>
      </c>
    </row>
    <row r="100" spans="1:11" ht="15" customHeight="1">
      <c r="C100" s="7" t="s">
        <v>196</v>
      </c>
      <c r="D100" s="24" t="s">
        <v>97</v>
      </c>
      <c r="E100" s="169">
        <v>1</v>
      </c>
      <c r="F100" s="209">
        <v>646.20000000000005</v>
      </c>
      <c r="G100" s="209">
        <v>2.8</v>
      </c>
      <c r="H100" s="209">
        <v>13.7</v>
      </c>
      <c r="I100" s="28">
        <f t="shared" si="11"/>
        <v>2.4788231999999997E-2</v>
      </c>
      <c r="J100" s="35">
        <f t="shared" si="12"/>
        <v>2.4788231999999997E-2</v>
      </c>
      <c r="K100" s="36">
        <f t="shared" si="13"/>
        <v>2.4788231999999997E-2</v>
      </c>
    </row>
    <row r="101" spans="1:11" ht="15" customHeight="1">
      <c r="A101" s="189"/>
      <c r="C101" s="241" t="s">
        <v>197</v>
      </c>
      <c r="D101" s="24" t="s">
        <v>92</v>
      </c>
      <c r="E101" s="169">
        <v>1</v>
      </c>
      <c r="F101" s="209">
        <v>561.1</v>
      </c>
      <c r="G101" s="177">
        <v>11.8</v>
      </c>
      <c r="H101" s="209">
        <v>8.5</v>
      </c>
      <c r="I101" s="28">
        <f t="shared" si="11"/>
        <v>5.6278330000000001E-2</v>
      </c>
      <c r="J101" s="35">
        <f t="shared" si="12"/>
        <v>5.6278330000000001E-2</v>
      </c>
      <c r="K101" s="36">
        <f t="shared" si="13"/>
        <v>5.6278330000000001E-2</v>
      </c>
    </row>
    <row r="102" spans="1:11" ht="15" customHeight="1">
      <c r="C102" s="241" t="s">
        <v>198</v>
      </c>
      <c r="D102" s="24" t="s">
        <v>93</v>
      </c>
      <c r="E102" s="169">
        <v>-2</v>
      </c>
      <c r="F102" s="209">
        <v>9.6999999999999993</v>
      </c>
      <c r="G102" s="244">
        <f>610.1+72.2</f>
        <v>682.30000000000007</v>
      </c>
      <c r="H102" s="209">
        <v>4.9000000000000004</v>
      </c>
      <c r="I102" s="28">
        <f t="shared" si="11"/>
        <v>-6.4859438000000005E-2</v>
      </c>
      <c r="J102" s="35">
        <f t="shared" si="12"/>
        <v>-6.4859438000000005E-2</v>
      </c>
      <c r="K102" s="36">
        <f t="shared" si="13"/>
        <v>-6.4859438000000005E-2</v>
      </c>
    </row>
    <row r="103" spans="1:11" ht="15" customHeight="1">
      <c r="A103" s="189"/>
      <c r="C103" s="7" t="s">
        <v>199</v>
      </c>
      <c r="D103" s="24" t="s">
        <v>94</v>
      </c>
      <c r="E103" s="169">
        <v>-2</v>
      </c>
      <c r="F103" s="209">
        <v>644.79999999999995</v>
      </c>
      <c r="G103" s="209">
        <v>9.6999999999999993</v>
      </c>
      <c r="H103" s="209">
        <v>4.9000000000000004</v>
      </c>
      <c r="I103" s="28">
        <f t="shared" si="11"/>
        <v>-6.1294688E-2</v>
      </c>
      <c r="J103" s="35">
        <f t="shared" si="12"/>
        <v>-6.1294688E-2</v>
      </c>
      <c r="K103" s="36">
        <f t="shared" si="13"/>
        <v>-6.1294688E-2</v>
      </c>
    </row>
    <row r="104" spans="1:11" ht="15" customHeight="1">
      <c r="A104" s="189"/>
      <c r="C104" s="7" t="s">
        <v>200</v>
      </c>
      <c r="D104" s="24" t="s">
        <v>95</v>
      </c>
      <c r="E104" s="169">
        <v>-2</v>
      </c>
      <c r="F104" s="209">
        <v>617.20000000000005</v>
      </c>
      <c r="G104" s="209">
        <v>9.6999999999999993</v>
      </c>
      <c r="H104" s="209">
        <v>4.9000000000000004</v>
      </c>
      <c r="I104" s="28">
        <f t="shared" si="11"/>
        <v>-5.8671032000000005E-2</v>
      </c>
      <c r="J104" s="35">
        <f t="shared" si="12"/>
        <v>-5.8671032000000005E-2</v>
      </c>
      <c r="K104" s="36">
        <f t="shared" si="13"/>
        <v>-5.8671032000000005E-2</v>
      </c>
    </row>
    <row r="105" spans="1:11" ht="15" customHeight="1">
      <c r="C105" s="7" t="s">
        <v>201</v>
      </c>
      <c r="D105" s="24" t="s">
        <v>98</v>
      </c>
      <c r="E105" s="169">
        <v>-2</v>
      </c>
      <c r="F105" s="209">
        <v>14</v>
      </c>
      <c r="G105" s="209">
        <v>68</v>
      </c>
      <c r="H105" s="209">
        <v>17</v>
      </c>
      <c r="I105" s="28">
        <f t="shared" si="11"/>
        <v>-3.2368000000000001E-2</v>
      </c>
      <c r="J105" s="35">
        <f t="shared" si="12"/>
        <v>-3.2368000000000001E-2</v>
      </c>
      <c r="K105" s="36">
        <f t="shared" si="13"/>
        <v>-3.2368000000000001E-2</v>
      </c>
    </row>
    <row r="106" spans="1:11" ht="15" customHeight="1">
      <c r="C106" s="7" t="s">
        <v>36</v>
      </c>
      <c r="D106" s="24" t="s">
        <v>99</v>
      </c>
      <c r="E106" s="169">
        <v>-2</v>
      </c>
      <c r="F106" s="209">
        <v>13.5</v>
      </c>
      <c r="G106" s="209">
        <v>114.4</v>
      </c>
      <c r="H106" s="209">
        <v>12</v>
      </c>
      <c r="I106" s="28">
        <f t="shared" si="11"/>
        <v>-3.7065600000000004E-2</v>
      </c>
      <c r="J106" s="35">
        <f t="shared" si="12"/>
        <v>-3.7065600000000004E-2</v>
      </c>
      <c r="K106" s="36">
        <f t="shared" si="13"/>
        <v>-3.7065600000000004E-2</v>
      </c>
    </row>
    <row r="107" spans="1:11" ht="15" customHeight="1">
      <c r="C107" s="7" t="s">
        <v>37</v>
      </c>
      <c r="D107" s="24" t="s">
        <v>100</v>
      </c>
      <c r="E107" s="169">
        <v>-10</v>
      </c>
      <c r="F107" s="209">
        <v>8.8000000000000007</v>
      </c>
      <c r="G107" s="209">
        <v>22</v>
      </c>
      <c r="H107" s="209">
        <v>15</v>
      </c>
      <c r="I107" s="28">
        <f t="shared" si="11"/>
        <v>-2.904E-2</v>
      </c>
      <c r="J107" s="35">
        <f t="shared" si="12"/>
        <v>-2.904E-2</v>
      </c>
      <c r="K107" s="36">
        <f t="shared" si="13"/>
        <v>-2.904E-2</v>
      </c>
    </row>
    <row r="108" spans="1:11" ht="15" customHeight="1">
      <c r="C108" s="7" t="s">
        <v>202</v>
      </c>
      <c r="D108" s="24" t="s">
        <v>101</v>
      </c>
      <c r="E108" s="169">
        <v>-4</v>
      </c>
      <c r="F108" s="209">
        <v>8.8000000000000007</v>
      </c>
      <c r="G108" s="209">
        <v>22</v>
      </c>
      <c r="H108" s="209">
        <v>16.5</v>
      </c>
      <c r="I108" s="28">
        <f t="shared" si="11"/>
        <v>-1.2777600000000002E-2</v>
      </c>
      <c r="J108" s="35">
        <f t="shared" si="12"/>
        <v>-1.2777600000000002E-2</v>
      </c>
      <c r="K108" s="36">
        <f t="shared" si="13"/>
        <v>-1.2777600000000002E-2</v>
      </c>
    </row>
    <row r="109" spans="1:11" ht="15" customHeight="1">
      <c r="C109" s="7" t="s">
        <v>203</v>
      </c>
      <c r="D109" s="15" t="s">
        <v>102</v>
      </c>
      <c r="E109" s="169">
        <v>-1</v>
      </c>
      <c r="F109" s="209">
        <v>233.2</v>
      </c>
      <c r="G109" s="209">
        <v>586.6</v>
      </c>
      <c r="H109" s="209">
        <v>27.6</v>
      </c>
      <c r="I109" s="28">
        <f t="shared" si="11"/>
        <v>-3.7755453119999998</v>
      </c>
      <c r="J109" s="35">
        <f t="shared" si="12"/>
        <v>-3.7755453119999998</v>
      </c>
      <c r="K109" s="36"/>
    </row>
    <row r="110" spans="1:11" ht="15" customHeight="1">
      <c r="C110" s="7" t="s">
        <v>204</v>
      </c>
      <c r="D110" s="15" t="s">
        <v>103</v>
      </c>
      <c r="E110" s="169">
        <v>-2</v>
      </c>
      <c r="F110" s="209">
        <v>183.6</v>
      </c>
      <c r="G110" s="209">
        <v>586.6</v>
      </c>
      <c r="H110" s="209">
        <v>22.5</v>
      </c>
      <c r="I110" s="28">
        <f t="shared" si="11"/>
        <v>-4.8464892000000006</v>
      </c>
      <c r="J110" s="35">
        <f>I110</f>
        <v>-4.8464892000000006</v>
      </c>
      <c r="K110" s="36"/>
    </row>
    <row r="111" spans="1:11" ht="15" customHeight="1">
      <c r="C111" s="7" t="s">
        <v>205</v>
      </c>
      <c r="D111" s="15" t="s">
        <v>104</v>
      </c>
      <c r="E111" s="169">
        <v>-2</v>
      </c>
      <c r="F111" s="174">
        <v>38.5</v>
      </c>
      <c r="G111" s="209">
        <v>575.4</v>
      </c>
      <c r="H111" s="209">
        <v>2.1</v>
      </c>
      <c r="I111" s="28">
        <f t="shared" si="11"/>
        <v>-9.3042179999999988E-2</v>
      </c>
      <c r="J111" s="35">
        <f>I111</f>
        <v>-9.3042179999999988E-2</v>
      </c>
      <c r="K111" s="36"/>
    </row>
    <row r="112" spans="1:11" ht="15" customHeight="1">
      <c r="C112" s="7" t="s">
        <v>206</v>
      </c>
      <c r="D112" s="15" t="s">
        <v>106</v>
      </c>
      <c r="E112" s="169">
        <v>-1</v>
      </c>
      <c r="F112" s="209">
        <v>233.2</v>
      </c>
      <c r="G112" s="209">
        <v>11.5</v>
      </c>
      <c r="H112" s="214">
        <f>27.6+21.6</f>
        <v>49.2</v>
      </c>
      <c r="I112" s="28">
        <f t="shared" si="11"/>
        <v>-0.13194455999999999</v>
      </c>
      <c r="J112" s="35">
        <f t="shared" ref="J112:J126" si="20">I112</f>
        <v>-0.13194455999999999</v>
      </c>
      <c r="K112" s="36"/>
    </row>
    <row r="113" spans="3:11" ht="15" customHeight="1">
      <c r="C113" s="7" t="s">
        <v>207</v>
      </c>
      <c r="D113" s="15" t="s">
        <v>105</v>
      </c>
      <c r="E113" s="169">
        <v>-2</v>
      </c>
      <c r="F113" s="215">
        <f>183.6-30.3</f>
        <v>153.29999999999998</v>
      </c>
      <c r="G113" s="209">
        <v>11.5</v>
      </c>
      <c r="H113" s="216">
        <f>22.5+21.6</f>
        <v>44.1</v>
      </c>
      <c r="I113" s="28">
        <f t="shared" si="11"/>
        <v>-0.15549219</v>
      </c>
      <c r="J113" s="35">
        <f t="shared" si="20"/>
        <v>-0.15549219</v>
      </c>
      <c r="K113" s="36"/>
    </row>
    <row r="114" spans="3:11" ht="15" customHeight="1">
      <c r="C114" s="7" t="s">
        <v>208</v>
      </c>
      <c r="D114" s="15" t="s">
        <v>312</v>
      </c>
      <c r="E114" s="169">
        <v>-1</v>
      </c>
      <c r="F114" s="209">
        <v>233.2</v>
      </c>
      <c r="G114" s="209">
        <v>1.9</v>
      </c>
      <c r="H114" s="217">
        <f>35.8-27.6</f>
        <v>8.1999999999999957</v>
      </c>
      <c r="I114" s="28">
        <f t="shared" si="11"/>
        <v>-3.6332559999999979E-3</v>
      </c>
      <c r="J114" s="35">
        <f t="shared" si="20"/>
        <v>-3.6332559999999979E-3</v>
      </c>
      <c r="K114" s="36"/>
    </row>
    <row r="115" spans="3:11" ht="15" customHeight="1">
      <c r="C115" s="7" t="s">
        <v>209</v>
      </c>
      <c r="D115" s="15" t="s">
        <v>313</v>
      </c>
      <c r="E115" s="169">
        <v>-2</v>
      </c>
      <c r="F115" s="209">
        <f>183.6</f>
        <v>183.6</v>
      </c>
      <c r="G115" s="209">
        <v>1.9</v>
      </c>
      <c r="H115" s="218">
        <f>35.8-22.5</f>
        <v>13.299999999999997</v>
      </c>
      <c r="I115" s="28">
        <f t="shared" si="11"/>
        <v>-9.2791439999999961E-3</v>
      </c>
      <c r="J115" s="35">
        <f t="shared" si="20"/>
        <v>-9.2791439999999961E-3</v>
      </c>
      <c r="K115" s="36"/>
    </row>
    <row r="116" spans="3:11" ht="15" customHeight="1">
      <c r="C116" s="7" t="s">
        <v>210</v>
      </c>
      <c r="D116" s="24" t="s">
        <v>107</v>
      </c>
      <c r="E116" s="169">
        <v>-1</v>
      </c>
      <c r="F116" s="209">
        <v>453</v>
      </c>
      <c r="G116" s="209">
        <v>48.9</v>
      </c>
      <c r="H116" s="209">
        <v>18.899999999999999</v>
      </c>
      <c r="I116" s="28">
        <f t="shared" si="11"/>
        <v>-0.41866713</v>
      </c>
      <c r="J116" s="35">
        <f t="shared" si="20"/>
        <v>-0.41866713</v>
      </c>
      <c r="K116" s="36"/>
    </row>
    <row r="117" spans="3:11" ht="15" customHeight="1">
      <c r="C117" s="7" t="s">
        <v>211</v>
      </c>
      <c r="D117" s="24" t="s">
        <v>108</v>
      </c>
      <c r="E117" s="169">
        <v>-1</v>
      </c>
      <c r="F117" s="209">
        <v>453</v>
      </c>
      <c r="G117" s="209">
        <v>42.9</v>
      </c>
      <c r="H117" s="209">
        <v>19.7</v>
      </c>
      <c r="I117" s="28">
        <f t="shared" si="11"/>
        <v>-0.38284389000000002</v>
      </c>
      <c r="J117" s="35">
        <f t="shared" si="20"/>
        <v>-0.38284389000000002</v>
      </c>
      <c r="K117" s="36"/>
    </row>
    <row r="118" spans="3:11" ht="15" customHeight="1">
      <c r="C118" s="7" t="s">
        <v>212</v>
      </c>
      <c r="D118" s="24" t="s">
        <v>109</v>
      </c>
      <c r="E118" s="169">
        <v>-1</v>
      </c>
      <c r="F118" s="209">
        <v>315.8</v>
      </c>
      <c r="G118" s="209">
        <v>130.6</v>
      </c>
      <c r="H118" s="209">
        <v>18.899999999999999</v>
      </c>
      <c r="I118" s="28">
        <f t="shared" si="11"/>
        <v>-0.77950177200000004</v>
      </c>
      <c r="J118" s="35">
        <f t="shared" si="20"/>
        <v>-0.77950177200000004</v>
      </c>
      <c r="K118" s="36"/>
    </row>
    <row r="119" spans="3:11" ht="15" customHeight="1">
      <c r="C119" s="7" t="s">
        <v>213</v>
      </c>
      <c r="D119" s="24" t="s">
        <v>110</v>
      </c>
      <c r="E119" s="169">
        <v>-1</v>
      </c>
      <c r="F119" s="209">
        <v>305.2</v>
      </c>
      <c r="G119" s="209">
        <v>130.6</v>
      </c>
      <c r="H119" s="209">
        <v>19.7</v>
      </c>
      <c r="I119" s="28">
        <f t="shared" si="11"/>
        <v>-0.78522466399999991</v>
      </c>
      <c r="J119" s="35">
        <f t="shared" si="20"/>
        <v>-0.78522466399999991</v>
      </c>
      <c r="K119" s="36"/>
    </row>
    <row r="120" spans="3:11" ht="15" customHeight="1">
      <c r="C120" s="7" t="s">
        <v>214</v>
      </c>
      <c r="D120" s="24" t="s">
        <v>111</v>
      </c>
      <c r="E120" s="169">
        <v>-1</v>
      </c>
      <c r="F120" s="209">
        <v>274.7</v>
      </c>
      <c r="G120" s="209">
        <v>24.1</v>
      </c>
      <c r="H120" s="209">
        <v>42.4</v>
      </c>
      <c r="I120" s="28">
        <f t="shared" si="11"/>
        <v>-0.28069944800000002</v>
      </c>
      <c r="J120" s="35">
        <f t="shared" si="20"/>
        <v>-0.28069944800000002</v>
      </c>
      <c r="K120" s="36"/>
    </row>
    <row r="121" spans="3:11" ht="15" customHeight="1">
      <c r="C121" s="7" t="s">
        <v>215</v>
      </c>
      <c r="D121" s="24" t="s">
        <v>112</v>
      </c>
      <c r="E121" s="169">
        <v>-1</v>
      </c>
      <c r="F121" s="219">
        <f>254.1+68.2*2+18.9*2</f>
        <v>428.3</v>
      </c>
      <c r="G121" s="209">
        <v>2.2999999999999998</v>
      </c>
      <c r="H121" s="209">
        <v>5</v>
      </c>
      <c r="I121" s="28">
        <f t="shared" si="11"/>
        <v>-4.9254499999999996E-3</v>
      </c>
      <c r="J121" s="35">
        <f t="shared" si="20"/>
        <v>-4.9254499999999996E-3</v>
      </c>
      <c r="K121" s="36"/>
    </row>
    <row r="122" spans="3:11" ht="15" customHeight="1">
      <c r="C122" s="7" t="s">
        <v>216</v>
      </c>
      <c r="D122" s="24" t="s">
        <v>113</v>
      </c>
      <c r="E122" s="169">
        <v>-1</v>
      </c>
      <c r="F122" s="209">
        <v>531.9</v>
      </c>
      <c r="G122" s="209">
        <v>126.4</v>
      </c>
      <c r="H122" s="209">
        <v>83</v>
      </c>
      <c r="I122" s="28">
        <f t="shared" si="11"/>
        <v>-5.5802692800000004</v>
      </c>
      <c r="J122" s="35">
        <f t="shared" si="20"/>
        <v>-5.5802692800000004</v>
      </c>
      <c r="K122" s="36"/>
    </row>
    <row r="123" spans="3:11" ht="15" customHeight="1">
      <c r="C123" s="7" t="s">
        <v>217</v>
      </c>
      <c r="D123" s="24" t="s">
        <v>114</v>
      </c>
      <c r="E123" s="169">
        <v>-1</v>
      </c>
      <c r="F123" s="209">
        <v>241</v>
      </c>
      <c r="G123" s="209">
        <v>97.4</v>
      </c>
      <c r="H123" s="209">
        <v>20</v>
      </c>
      <c r="I123" s="28">
        <f t="shared" si="11"/>
        <v>-0.469468</v>
      </c>
      <c r="J123" s="35">
        <f t="shared" si="20"/>
        <v>-0.469468</v>
      </c>
      <c r="K123" s="36"/>
    </row>
    <row r="124" spans="3:11" ht="15" customHeight="1">
      <c r="C124" s="7" t="s">
        <v>218</v>
      </c>
      <c r="D124" s="24" t="s">
        <v>115</v>
      </c>
      <c r="E124" s="169">
        <v>-1</v>
      </c>
      <c r="F124" s="209">
        <v>531.9</v>
      </c>
      <c r="G124" s="209">
        <v>29</v>
      </c>
      <c r="H124" s="209">
        <v>20</v>
      </c>
      <c r="I124" s="28">
        <f t="shared" si="11"/>
        <v>-0.308502</v>
      </c>
      <c r="J124" s="35">
        <f t="shared" si="20"/>
        <v>-0.308502</v>
      </c>
      <c r="K124" s="36"/>
    </row>
    <row r="125" spans="3:11" ht="15" customHeight="1">
      <c r="C125" s="7" t="s">
        <v>219</v>
      </c>
      <c r="D125" s="24" t="s">
        <v>116</v>
      </c>
      <c r="E125" s="169">
        <v>-1</v>
      </c>
      <c r="F125" s="209">
        <v>531.9</v>
      </c>
      <c r="G125" s="174">
        <v>3.5</v>
      </c>
      <c r="H125" s="209">
        <v>3</v>
      </c>
      <c r="I125" s="28">
        <f t="shared" si="11"/>
        <v>-5.58495E-3</v>
      </c>
      <c r="J125" s="35">
        <f t="shared" si="20"/>
        <v>-5.58495E-3</v>
      </c>
      <c r="K125" s="36"/>
    </row>
    <row r="126" spans="3:11" ht="15" customHeight="1">
      <c r="C126" s="7" t="s">
        <v>220</v>
      </c>
      <c r="D126" s="24" t="s">
        <v>117</v>
      </c>
      <c r="E126" s="169">
        <v>-2</v>
      </c>
      <c r="F126" s="209">
        <v>29.9</v>
      </c>
      <c r="G126" s="209">
        <v>24</v>
      </c>
      <c r="H126" s="209">
        <v>3</v>
      </c>
      <c r="I126" s="28">
        <f t="shared" si="11"/>
        <v>-4.3055999999999997E-3</v>
      </c>
      <c r="J126" s="35">
        <f t="shared" si="20"/>
        <v>-4.3055999999999997E-3</v>
      </c>
      <c r="K126" s="17">
        <f t="shared" ref="K126:K181" si="21">I126</f>
        <v>-4.3055999999999997E-3</v>
      </c>
    </row>
    <row r="127" spans="3:11" ht="15" customHeight="1">
      <c r="C127" s="7" t="s">
        <v>221</v>
      </c>
      <c r="D127" s="24" t="s">
        <v>320</v>
      </c>
      <c r="E127" s="169">
        <v>-1</v>
      </c>
      <c r="F127" s="209">
        <v>531.9</v>
      </c>
      <c r="G127" s="209">
        <v>24</v>
      </c>
      <c r="H127" s="209">
        <v>3</v>
      </c>
      <c r="I127" s="28">
        <f t="shared" si="11"/>
        <v>-3.8296799999999999E-2</v>
      </c>
      <c r="J127" s="35"/>
      <c r="K127" s="17">
        <f t="shared" si="21"/>
        <v>-3.8296799999999999E-2</v>
      </c>
    </row>
    <row r="128" spans="3:11" ht="15" customHeight="1">
      <c r="C128" s="318" t="s">
        <v>222</v>
      </c>
      <c r="D128" s="324" t="s">
        <v>20</v>
      </c>
      <c r="E128" s="170">
        <v>1</v>
      </c>
      <c r="F128" s="210">
        <v>703.2</v>
      </c>
      <c r="G128" s="210">
        <v>947.1</v>
      </c>
      <c r="H128" s="210">
        <v>31.5</v>
      </c>
      <c r="I128" s="16">
        <f t="shared" si="11"/>
        <v>20.979022680000003</v>
      </c>
      <c r="J128" s="30"/>
      <c r="K128" s="17">
        <f t="shared" si="21"/>
        <v>20.979022680000003</v>
      </c>
    </row>
    <row r="129" spans="3:11" ht="15" customHeight="1">
      <c r="C129" s="319"/>
      <c r="D129" s="325"/>
      <c r="E129" s="170">
        <v>-1</v>
      </c>
      <c r="F129" s="210">
        <v>693.6</v>
      </c>
      <c r="G129" s="210">
        <v>923.8</v>
      </c>
      <c r="H129" s="210">
        <v>31.5</v>
      </c>
      <c r="I129" s="16">
        <f t="shared" si="11"/>
        <v>-20.183551919999999</v>
      </c>
      <c r="J129" s="30"/>
      <c r="K129" s="17">
        <f t="shared" si="21"/>
        <v>-20.183551919999999</v>
      </c>
    </row>
    <row r="130" spans="3:11" ht="15" customHeight="1">
      <c r="C130" s="38" t="s">
        <v>223</v>
      </c>
      <c r="D130" s="24"/>
      <c r="E130" s="169"/>
      <c r="F130" s="177"/>
      <c r="G130" s="177"/>
      <c r="H130" s="177"/>
      <c r="I130" s="16">
        <f t="shared" si="11"/>
        <v>0</v>
      </c>
      <c r="J130" s="35">
        <f t="shared" ref="J130:J136" si="22">I130</f>
        <v>0</v>
      </c>
      <c r="K130" s="36">
        <f t="shared" si="21"/>
        <v>0</v>
      </c>
    </row>
    <row r="131" spans="3:11" ht="15" customHeight="1">
      <c r="C131" s="38" t="s">
        <v>224</v>
      </c>
      <c r="D131" s="24"/>
      <c r="E131" s="169"/>
      <c r="F131" s="177"/>
      <c r="G131" s="177"/>
      <c r="H131" s="177"/>
      <c r="I131" s="16">
        <f t="shared" si="11"/>
        <v>0</v>
      </c>
      <c r="J131" s="35">
        <f t="shared" si="22"/>
        <v>0</v>
      </c>
      <c r="K131" s="36">
        <f t="shared" si="21"/>
        <v>0</v>
      </c>
    </row>
    <row r="132" spans="3:11" ht="15" customHeight="1">
      <c r="C132" s="38" t="s">
        <v>225</v>
      </c>
      <c r="D132" s="24"/>
      <c r="E132" s="169"/>
      <c r="F132" s="177"/>
      <c r="G132" s="177"/>
      <c r="H132" s="177"/>
      <c r="I132" s="16">
        <f t="shared" si="11"/>
        <v>0</v>
      </c>
      <c r="J132" s="35">
        <f t="shared" si="22"/>
        <v>0</v>
      </c>
      <c r="K132" s="36">
        <f t="shared" si="21"/>
        <v>0</v>
      </c>
    </row>
    <row r="133" spans="3:11" ht="15" customHeight="1">
      <c r="C133" s="38" t="s">
        <v>226</v>
      </c>
      <c r="D133" s="24" t="s">
        <v>118</v>
      </c>
      <c r="E133" s="169">
        <v>2</v>
      </c>
      <c r="F133" s="209">
        <v>243.6</v>
      </c>
      <c r="G133" s="209">
        <v>28.3</v>
      </c>
      <c r="H133" s="209">
        <v>87</v>
      </c>
      <c r="I133" s="16">
        <f t="shared" si="11"/>
        <v>1.1995351200000002</v>
      </c>
      <c r="J133" s="35">
        <f t="shared" si="22"/>
        <v>1.1995351200000002</v>
      </c>
      <c r="K133" s="36">
        <f t="shared" si="21"/>
        <v>1.1995351200000002</v>
      </c>
    </row>
    <row r="134" spans="3:11" ht="15" customHeight="1">
      <c r="C134" s="38" t="s">
        <v>227</v>
      </c>
      <c r="D134" s="24" t="s">
        <v>137</v>
      </c>
      <c r="E134" s="169">
        <v>-2</v>
      </c>
      <c r="F134" s="209">
        <v>222.3</v>
      </c>
      <c r="G134" s="209">
        <v>2.5</v>
      </c>
      <c r="H134" s="209">
        <v>62.8</v>
      </c>
      <c r="I134" s="16">
        <f t="shared" si="11"/>
        <v>-6.9802199999999995E-2</v>
      </c>
      <c r="J134" s="35">
        <f t="shared" si="22"/>
        <v>-6.9802199999999995E-2</v>
      </c>
      <c r="K134" s="36">
        <f t="shared" si="21"/>
        <v>-6.9802199999999995E-2</v>
      </c>
    </row>
    <row r="135" spans="3:11" ht="15" customHeight="1">
      <c r="C135" s="38" t="s">
        <v>228</v>
      </c>
      <c r="D135" s="24" t="s">
        <v>119</v>
      </c>
      <c r="E135" s="169">
        <v>1</v>
      </c>
      <c r="F135" s="209">
        <v>507</v>
      </c>
      <c r="G135" s="209">
        <v>5.2</v>
      </c>
      <c r="H135" s="209">
        <v>95</v>
      </c>
      <c r="I135" s="16">
        <f t="shared" si="11"/>
        <v>0.25045800000000001</v>
      </c>
      <c r="J135" s="35">
        <f t="shared" si="22"/>
        <v>0.25045800000000001</v>
      </c>
      <c r="K135" s="36">
        <f t="shared" si="21"/>
        <v>0.25045800000000001</v>
      </c>
    </row>
    <row r="136" spans="3:11" ht="15" customHeight="1">
      <c r="C136" s="38" t="s">
        <v>229</v>
      </c>
      <c r="D136" s="24" t="s">
        <v>136</v>
      </c>
      <c r="E136" s="169">
        <v>1</v>
      </c>
      <c r="F136" s="209">
        <v>518</v>
      </c>
      <c r="G136" s="209">
        <v>2</v>
      </c>
      <c r="H136" s="209">
        <v>102</v>
      </c>
      <c r="I136" s="16">
        <f t="shared" si="11"/>
        <v>0.105672</v>
      </c>
      <c r="J136" s="35">
        <f t="shared" si="22"/>
        <v>0.105672</v>
      </c>
      <c r="K136" s="36">
        <f t="shared" si="21"/>
        <v>0.105672</v>
      </c>
    </row>
    <row r="137" spans="3:11" ht="15" customHeight="1">
      <c r="C137" s="243" t="s">
        <v>230</v>
      </c>
      <c r="D137" s="24" t="s">
        <v>64</v>
      </c>
      <c r="E137" s="169">
        <v>4</v>
      </c>
      <c r="F137" s="177">
        <v>13.9</v>
      </c>
      <c r="G137" s="209">
        <v>168.5</v>
      </c>
      <c r="H137" s="209">
        <v>38</v>
      </c>
      <c r="I137" s="16">
        <f t="shared" si="11"/>
        <v>0.35600680000000001</v>
      </c>
      <c r="J137" s="35"/>
      <c r="K137" s="36">
        <f t="shared" si="21"/>
        <v>0.35600680000000001</v>
      </c>
    </row>
    <row r="138" spans="3:11" ht="15" customHeight="1">
      <c r="C138" s="38" t="s">
        <v>231</v>
      </c>
      <c r="D138" s="24" t="s">
        <v>130</v>
      </c>
      <c r="E138" s="169">
        <v>2</v>
      </c>
      <c r="F138" s="209">
        <v>5</v>
      </c>
      <c r="G138" s="209">
        <v>11.6</v>
      </c>
      <c r="H138" s="209">
        <v>56.9</v>
      </c>
      <c r="I138" s="16">
        <f t="shared" si="11"/>
        <v>6.6003999999999993E-3</v>
      </c>
      <c r="J138" s="35">
        <f>I138</f>
        <v>6.6003999999999993E-3</v>
      </c>
      <c r="K138" s="36">
        <f t="shared" si="21"/>
        <v>6.6003999999999993E-3</v>
      </c>
    </row>
    <row r="139" spans="3:11" ht="15" customHeight="1">
      <c r="C139" s="38" t="s">
        <v>232</v>
      </c>
      <c r="D139" s="24" t="s">
        <v>130</v>
      </c>
      <c r="E139" s="169">
        <v>2</v>
      </c>
      <c r="F139" s="209">
        <v>5</v>
      </c>
      <c r="G139" s="209">
        <v>42</v>
      </c>
      <c r="H139" s="209">
        <v>11.6</v>
      </c>
      <c r="I139" s="16">
        <f t="shared" si="11"/>
        <v>4.8719999999999996E-3</v>
      </c>
      <c r="J139" s="35">
        <f>I139</f>
        <v>4.8719999999999996E-3</v>
      </c>
      <c r="K139" s="36">
        <f t="shared" si="21"/>
        <v>4.8719999999999996E-3</v>
      </c>
    </row>
    <row r="140" spans="3:11" ht="15" customHeight="1">
      <c r="C140" s="38" t="s">
        <v>233</v>
      </c>
      <c r="D140" s="24" t="s">
        <v>120</v>
      </c>
      <c r="E140" s="169">
        <v>-2</v>
      </c>
      <c r="F140" s="209">
        <v>13.6</v>
      </c>
      <c r="G140" s="209">
        <v>14</v>
      </c>
      <c r="H140" s="209">
        <v>412.7</v>
      </c>
      <c r="I140" s="28">
        <f t="shared" si="11"/>
        <v>-0.15715616000000002</v>
      </c>
      <c r="J140" s="35">
        <f t="shared" ref="J140:J167" si="23">I140</f>
        <v>-0.15715616000000002</v>
      </c>
      <c r="K140" s="36">
        <f t="shared" si="21"/>
        <v>-0.15715616000000002</v>
      </c>
    </row>
    <row r="141" spans="3:11" ht="15" customHeight="1">
      <c r="C141" s="38" t="s">
        <v>234</v>
      </c>
      <c r="D141" s="24" t="s">
        <v>121</v>
      </c>
      <c r="E141" s="169">
        <v>-4</v>
      </c>
      <c r="F141" s="209">
        <v>13.7</v>
      </c>
      <c r="G141" s="209">
        <v>9.1</v>
      </c>
      <c r="H141" s="220">
        <f>121.4+107.1</f>
        <v>228.5</v>
      </c>
      <c r="I141" s="28">
        <f t="shared" si="11"/>
        <v>-0.11394837999999999</v>
      </c>
      <c r="J141" s="35">
        <f t="shared" si="23"/>
        <v>-0.11394837999999999</v>
      </c>
      <c r="K141" s="36">
        <f t="shared" si="21"/>
        <v>-0.11394837999999999</v>
      </c>
    </row>
    <row r="142" spans="3:11" ht="15" customHeight="1">
      <c r="C142" s="38" t="s">
        <v>235</v>
      </c>
      <c r="D142" s="24" t="s">
        <v>122</v>
      </c>
      <c r="E142" s="169">
        <v>-4</v>
      </c>
      <c r="F142" s="209">
        <v>13.7</v>
      </c>
      <c r="G142" s="209">
        <v>13</v>
      </c>
      <c r="H142" s="209">
        <v>144.6</v>
      </c>
      <c r="I142" s="28">
        <f t="shared" si="11"/>
        <v>-0.10301304</v>
      </c>
      <c r="J142" s="35">
        <f t="shared" si="23"/>
        <v>-0.10301304</v>
      </c>
      <c r="K142" s="36">
        <f t="shared" si="21"/>
        <v>-0.10301304</v>
      </c>
    </row>
    <row r="143" spans="3:11" ht="15" customHeight="1">
      <c r="C143" s="38" t="s">
        <v>236</v>
      </c>
      <c r="D143" s="24" t="s">
        <v>123</v>
      </c>
      <c r="E143" s="169">
        <v>-2</v>
      </c>
      <c r="F143" s="209">
        <v>13.7</v>
      </c>
      <c r="G143" s="209">
        <v>9.1</v>
      </c>
      <c r="H143" s="221">
        <f>96.4+107.1</f>
        <v>203.5</v>
      </c>
      <c r="I143" s="28">
        <f t="shared" si="11"/>
        <v>-5.0740689999999998E-2</v>
      </c>
      <c r="J143" s="35">
        <f t="shared" si="23"/>
        <v>-5.0740689999999998E-2</v>
      </c>
      <c r="K143" s="36">
        <f t="shared" si="21"/>
        <v>-5.0740689999999998E-2</v>
      </c>
    </row>
    <row r="144" spans="3:11" ht="15" customHeight="1">
      <c r="C144" s="38" t="s">
        <v>237</v>
      </c>
      <c r="D144" s="24" t="s">
        <v>124</v>
      </c>
      <c r="E144" s="169">
        <v>-2</v>
      </c>
      <c r="F144" s="209">
        <v>13.7</v>
      </c>
      <c r="G144" s="209">
        <v>13</v>
      </c>
      <c r="H144" s="209">
        <v>144.6</v>
      </c>
      <c r="I144" s="28">
        <f t="shared" si="11"/>
        <v>-5.150652E-2</v>
      </c>
      <c r="J144" s="35">
        <f t="shared" si="23"/>
        <v>-5.150652E-2</v>
      </c>
      <c r="K144" s="36">
        <f t="shared" si="21"/>
        <v>-5.150652E-2</v>
      </c>
    </row>
    <row r="145" spans="1:11" ht="15" customHeight="1">
      <c r="C145" s="38" t="s">
        <v>238</v>
      </c>
      <c r="D145" s="24" t="s">
        <v>139</v>
      </c>
      <c r="E145" s="169">
        <v>-2</v>
      </c>
      <c r="F145" s="222">
        <v>20.7</v>
      </c>
      <c r="G145" s="209">
        <v>46.9</v>
      </c>
      <c r="H145" s="209">
        <v>418.8</v>
      </c>
      <c r="I145" s="28">
        <f t="shared" si="11"/>
        <v>-0.81316720799999997</v>
      </c>
      <c r="J145" s="35">
        <f t="shared" si="23"/>
        <v>-0.81316720799999997</v>
      </c>
      <c r="K145" s="36"/>
    </row>
    <row r="146" spans="1:11" ht="15" customHeight="1">
      <c r="C146" s="38" t="s">
        <v>239</v>
      </c>
      <c r="D146" s="24" t="s">
        <v>140</v>
      </c>
      <c r="E146" s="169">
        <v>-2</v>
      </c>
      <c r="F146" s="222">
        <v>20.7</v>
      </c>
      <c r="G146" s="209">
        <v>27.6</v>
      </c>
      <c r="H146" s="222">
        <v>90.4</v>
      </c>
      <c r="I146" s="28">
        <f t="shared" si="11"/>
        <v>-0.10329465600000001</v>
      </c>
      <c r="J146" s="35">
        <f t="shared" si="23"/>
        <v>-0.10329465600000001</v>
      </c>
      <c r="K146" s="36"/>
    </row>
    <row r="147" spans="1:11" ht="15" customHeight="1">
      <c r="C147" s="38" t="s">
        <v>240</v>
      </c>
      <c r="D147" s="24" t="s">
        <v>141</v>
      </c>
      <c r="E147" s="169">
        <v>-2</v>
      </c>
      <c r="F147" s="209">
        <v>4.3</v>
      </c>
      <c r="G147" s="209">
        <v>34.700000000000003</v>
      </c>
      <c r="H147" s="209">
        <v>178.9</v>
      </c>
      <c r="I147" s="28">
        <f t="shared" si="11"/>
        <v>-5.3387338000000006E-2</v>
      </c>
      <c r="J147" s="35">
        <f t="shared" si="23"/>
        <v>-5.3387338000000006E-2</v>
      </c>
      <c r="K147" s="36"/>
    </row>
    <row r="148" spans="1:11" ht="15" customHeight="1">
      <c r="C148" s="38" t="s">
        <v>241</v>
      </c>
      <c r="D148" s="24" t="s">
        <v>142</v>
      </c>
      <c r="E148" s="169">
        <v>-2</v>
      </c>
      <c r="F148" s="209">
        <v>11.5</v>
      </c>
      <c r="G148" s="209">
        <v>3</v>
      </c>
      <c r="H148" s="209">
        <v>154.5</v>
      </c>
      <c r="I148" s="28">
        <f t="shared" si="11"/>
        <v>-1.06605E-2</v>
      </c>
      <c r="J148" s="35">
        <f t="shared" si="23"/>
        <v>-1.06605E-2</v>
      </c>
      <c r="K148" s="36"/>
    </row>
    <row r="149" spans="1:11" ht="15" customHeight="1">
      <c r="C149" s="38" t="s">
        <v>242</v>
      </c>
      <c r="D149" s="24" t="s">
        <v>143</v>
      </c>
      <c r="E149" s="169">
        <v>-2</v>
      </c>
      <c r="F149" s="209">
        <v>11.5</v>
      </c>
      <c r="G149" s="209">
        <v>9.9</v>
      </c>
      <c r="H149" s="209">
        <v>80.599999999999994</v>
      </c>
      <c r="I149" s="28">
        <f t="shared" si="11"/>
        <v>-1.835262E-2</v>
      </c>
      <c r="J149" s="35">
        <f t="shared" si="23"/>
        <v>-1.835262E-2</v>
      </c>
      <c r="K149" s="36"/>
    </row>
    <row r="150" spans="1:11" ht="15" customHeight="1">
      <c r="C150" s="38" t="s">
        <v>243</v>
      </c>
      <c r="D150" s="24" t="s">
        <v>144</v>
      </c>
      <c r="E150" s="169">
        <v>-2</v>
      </c>
      <c r="F150" s="209">
        <v>11.5</v>
      </c>
      <c r="G150" s="209">
        <v>13.5</v>
      </c>
      <c r="H150" s="209">
        <v>28.6</v>
      </c>
      <c r="I150" s="28">
        <f t="shared" si="11"/>
        <v>-8.8803000000000007E-3</v>
      </c>
      <c r="J150" s="35">
        <f t="shared" si="23"/>
        <v>-8.8803000000000007E-3</v>
      </c>
      <c r="K150" s="36"/>
    </row>
    <row r="151" spans="1:11" ht="15" customHeight="1">
      <c r="C151" s="38" t="s">
        <v>244</v>
      </c>
      <c r="D151" s="24" t="s">
        <v>145</v>
      </c>
      <c r="E151" s="169">
        <v>-2</v>
      </c>
      <c r="F151" s="209">
        <v>11.5</v>
      </c>
      <c r="G151" s="209">
        <v>19.7</v>
      </c>
      <c r="H151" s="209">
        <v>13.8</v>
      </c>
      <c r="I151" s="28">
        <f t="shared" si="11"/>
        <v>-6.2527799999999994E-3</v>
      </c>
      <c r="J151" s="35">
        <f t="shared" si="23"/>
        <v>-6.2527799999999994E-3</v>
      </c>
      <c r="K151" s="36"/>
    </row>
    <row r="152" spans="1:11" ht="15" customHeight="1">
      <c r="C152" s="38" t="s">
        <v>245</v>
      </c>
      <c r="D152" s="24" t="s">
        <v>146</v>
      </c>
      <c r="E152" s="169">
        <v>-2</v>
      </c>
      <c r="F152" s="209">
        <v>12.8</v>
      </c>
      <c r="G152" s="209">
        <v>14.1</v>
      </c>
      <c r="H152" s="209">
        <v>62.9</v>
      </c>
      <c r="I152" s="28">
        <f t="shared" si="11"/>
        <v>-2.2704384000000001E-2</v>
      </c>
      <c r="J152" s="35">
        <f t="shared" si="23"/>
        <v>-2.2704384000000001E-2</v>
      </c>
      <c r="K152" s="36"/>
    </row>
    <row r="153" spans="1:11" ht="15" customHeight="1">
      <c r="C153" s="38" t="s">
        <v>246</v>
      </c>
      <c r="D153" s="24" t="s">
        <v>315</v>
      </c>
      <c r="E153" s="169">
        <v>-2</v>
      </c>
      <c r="F153" s="209">
        <v>12.8</v>
      </c>
      <c r="G153" s="209">
        <v>27.6</v>
      </c>
      <c r="H153" s="209">
        <v>63.2</v>
      </c>
      <c r="I153" s="28">
        <f t="shared" ref="I153:I181" si="24">(E153*F153*G153*H153)/1000000</f>
        <v>-4.4654592000000007E-2</v>
      </c>
      <c r="J153" s="35">
        <f t="shared" si="23"/>
        <v>-4.4654592000000007E-2</v>
      </c>
      <c r="K153" s="36"/>
    </row>
    <row r="154" spans="1:11" ht="15" customHeight="1">
      <c r="C154" s="38" t="s">
        <v>247</v>
      </c>
      <c r="D154" s="24" t="s">
        <v>125</v>
      </c>
      <c r="E154" s="169">
        <v>-2</v>
      </c>
      <c r="F154" s="209">
        <v>8</v>
      </c>
      <c r="G154" s="209">
        <v>9.5</v>
      </c>
      <c r="H154" s="209">
        <v>427</v>
      </c>
      <c r="I154" s="28">
        <f t="shared" si="24"/>
        <v>-6.4904000000000003E-2</v>
      </c>
      <c r="J154" s="35">
        <f t="shared" si="23"/>
        <v>-6.4904000000000003E-2</v>
      </c>
      <c r="K154" s="36">
        <f t="shared" si="21"/>
        <v>-6.4904000000000003E-2</v>
      </c>
    </row>
    <row r="155" spans="1:11" ht="15" customHeight="1">
      <c r="C155" s="38" t="s">
        <v>248</v>
      </c>
      <c r="D155" s="24" t="s">
        <v>126</v>
      </c>
      <c r="E155" s="169">
        <v>-2</v>
      </c>
      <c r="F155" s="209">
        <v>15.5</v>
      </c>
      <c r="G155" s="209">
        <v>12</v>
      </c>
      <c r="H155" s="209">
        <v>427</v>
      </c>
      <c r="I155" s="28">
        <f t="shared" si="24"/>
        <v>-0.15884400000000001</v>
      </c>
      <c r="J155" s="35">
        <f t="shared" si="23"/>
        <v>-0.15884400000000001</v>
      </c>
      <c r="K155" s="36">
        <f t="shared" si="21"/>
        <v>-0.15884400000000001</v>
      </c>
    </row>
    <row r="156" spans="1:11" ht="15" customHeight="1">
      <c r="A156" s="189"/>
      <c r="C156" s="38" t="s">
        <v>249</v>
      </c>
      <c r="D156" s="24" t="s">
        <v>127</v>
      </c>
      <c r="E156" s="169">
        <v>2</v>
      </c>
      <c r="F156" s="209">
        <f>6.8-3.4</f>
        <v>3.4</v>
      </c>
      <c r="G156" s="209">
        <v>47</v>
      </c>
      <c r="H156" s="209">
        <v>471.8</v>
      </c>
      <c r="I156" s="28">
        <f t="shared" si="24"/>
        <v>0.15078728</v>
      </c>
      <c r="J156" s="35"/>
      <c r="K156" s="36">
        <f t="shared" si="21"/>
        <v>0.15078728</v>
      </c>
    </row>
    <row r="157" spans="1:11" ht="15" customHeight="1">
      <c r="A157" s="189"/>
      <c r="C157" s="243" t="s">
        <v>359</v>
      </c>
      <c r="D157" s="24" t="s">
        <v>127</v>
      </c>
      <c r="E157" s="169">
        <v>2</v>
      </c>
      <c r="F157" s="209">
        <f>6.8-3.4</f>
        <v>3.4</v>
      </c>
      <c r="G157" s="209">
        <v>47</v>
      </c>
      <c r="H157" s="177">
        <v>399.8</v>
      </c>
      <c r="I157" s="28">
        <f t="shared" ref="I157" si="25">(E157*F157*G157*H157)/1000000</f>
        <v>0.12777607999999999</v>
      </c>
      <c r="J157" s="35"/>
      <c r="K157" s="36">
        <f t="shared" ref="K157" si="26">I157</f>
        <v>0.12777607999999999</v>
      </c>
    </row>
    <row r="158" spans="1:11" ht="15" customHeight="1">
      <c r="C158" s="38" t="s">
        <v>250</v>
      </c>
      <c r="D158" s="24" t="s">
        <v>68</v>
      </c>
      <c r="E158" s="169">
        <v>-2</v>
      </c>
      <c r="F158" s="209">
        <v>14.7</v>
      </c>
      <c r="G158" s="209">
        <v>45.7</v>
      </c>
      <c r="H158" s="209">
        <v>370.3</v>
      </c>
      <c r="I158" s="28">
        <f t="shared" si="24"/>
        <v>-0.49752767399999998</v>
      </c>
      <c r="J158" s="35">
        <f t="shared" ref="J158" si="27">I158</f>
        <v>-0.49752767399999998</v>
      </c>
      <c r="K158" s="36"/>
    </row>
    <row r="159" spans="1:11" ht="15" customHeight="1">
      <c r="C159" s="243" t="s">
        <v>360</v>
      </c>
      <c r="D159" s="24" t="s">
        <v>68</v>
      </c>
      <c r="E159" s="169">
        <v>-2</v>
      </c>
      <c r="F159" s="209">
        <v>14.7</v>
      </c>
      <c r="G159" s="209">
        <v>45.7</v>
      </c>
      <c r="H159" s="177">
        <v>298.60000000000002</v>
      </c>
      <c r="I159" s="28">
        <f t="shared" ref="I159" si="28">(E159*F159*G159*H159)/1000000</f>
        <v>-0.40119298800000003</v>
      </c>
      <c r="J159" s="35">
        <f t="shared" ref="J159" si="29">I159</f>
        <v>-0.40119298800000003</v>
      </c>
      <c r="K159" s="36"/>
    </row>
    <row r="160" spans="1:11" ht="15" customHeight="1">
      <c r="A160" s="189"/>
      <c r="C160" s="38" t="s">
        <v>251</v>
      </c>
      <c r="D160" s="24" t="s">
        <v>128</v>
      </c>
      <c r="E160" s="178">
        <v>-4</v>
      </c>
      <c r="F160" s="209">
        <f>16.5-3.4</f>
        <v>13.1</v>
      </c>
      <c r="G160" s="209">
        <v>9.1</v>
      </c>
      <c r="H160" s="209">
        <v>415.9</v>
      </c>
      <c r="I160" s="28">
        <f t="shared" si="24"/>
        <v>-0.19831775599999996</v>
      </c>
      <c r="J160" s="35">
        <f t="shared" si="23"/>
        <v>-0.19831775599999996</v>
      </c>
      <c r="K160" s="36">
        <f t="shared" si="21"/>
        <v>-0.19831775599999996</v>
      </c>
    </row>
    <row r="161" spans="1:11" ht="15" customHeight="1">
      <c r="A161" s="189"/>
      <c r="C161" s="38" t="s">
        <v>252</v>
      </c>
      <c r="D161" s="24" t="s">
        <v>128</v>
      </c>
      <c r="E161" s="169">
        <v>-2</v>
      </c>
      <c r="F161" s="209">
        <v>10</v>
      </c>
      <c r="G161" s="209">
        <v>9.1</v>
      </c>
      <c r="H161" s="209">
        <v>55.2</v>
      </c>
      <c r="I161" s="28">
        <f t="shared" si="24"/>
        <v>-1.00464E-2</v>
      </c>
      <c r="J161" s="35">
        <f>I161</f>
        <v>-1.00464E-2</v>
      </c>
      <c r="K161" s="36">
        <f t="shared" si="21"/>
        <v>-1.00464E-2</v>
      </c>
    </row>
    <row r="162" spans="1:11" ht="15" customHeight="1">
      <c r="A162" s="189"/>
      <c r="C162" s="38" t="s">
        <v>253</v>
      </c>
      <c r="D162" s="24" t="s">
        <v>128</v>
      </c>
      <c r="E162" s="178">
        <v>-4</v>
      </c>
      <c r="F162" s="209">
        <f>9.5-3.4</f>
        <v>6.1</v>
      </c>
      <c r="G162" s="209">
        <v>12</v>
      </c>
      <c r="H162" s="209">
        <v>47.5</v>
      </c>
      <c r="I162" s="28">
        <f t="shared" si="24"/>
        <v>-1.3907999999999998E-2</v>
      </c>
      <c r="J162" s="35">
        <f t="shared" si="23"/>
        <v>-1.3907999999999998E-2</v>
      </c>
      <c r="K162" s="36">
        <f t="shared" si="21"/>
        <v>-1.3907999999999998E-2</v>
      </c>
    </row>
    <row r="163" spans="1:11" ht="15" customHeight="1">
      <c r="A163" s="189"/>
      <c r="C163" s="38" t="s">
        <v>254</v>
      </c>
      <c r="D163" s="24" t="s">
        <v>129</v>
      </c>
      <c r="E163" s="169">
        <v>-2</v>
      </c>
      <c r="F163" s="209">
        <v>10</v>
      </c>
      <c r="G163" s="209">
        <v>7.2</v>
      </c>
      <c r="H163" s="209">
        <v>394.8</v>
      </c>
      <c r="I163" s="28">
        <f t="shared" si="24"/>
        <v>-5.6851200000000005E-2</v>
      </c>
      <c r="J163" s="35">
        <f t="shared" si="23"/>
        <v>-5.6851200000000005E-2</v>
      </c>
      <c r="K163" s="36">
        <f t="shared" si="21"/>
        <v>-5.6851200000000005E-2</v>
      </c>
    </row>
    <row r="164" spans="1:11" ht="15" customHeight="1">
      <c r="A164" s="189"/>
      <c r="C164" s="38" t="s">
        <v>255</v>
      </c>
      <c r="D164" s="24" t="s">
        <v>129</v>
      </c>
      <c r="E164" s="169">
        <v>-2</v>
      </c>
      <c r="F164" s="209">
        <v>8</v>
      </c>
      <c r="G164" s="209">
        <v>7.2</v>
      </c>
      <c r="H164" s="209">
        <v>55.2</v>
      </c>
      <c r="I164" s="28">
        <f t="shared" si="24"/>
        <v>-6.3590400000000007E-3</v>
      </c>
      <c r="J164" s="35">
        <f t="shared" si="23"/>
        <v>-6.3590400000000007E-3</v>
      </c>
      <c r="K164" s="36">
        <f t="shared" si="21"/>
        <v>-6.3590400000000007E-3</v>
      </c>
    </row>
    <row r="165" spans="1:11" ht="15" customHeight="1">
      <c r="C165" s="38" t="s">
        <v>256</v>
      </c>
      <c r="D165" s="24" t="s">
        <v>131</v>
      </c>
      <c r="E165" s="169">
        <v>2</v>
      </c>
      <c r="F165" s="209">
        <v>5.5</v>
      </c>
      <c r="G165" s="209">
        <v>947.1</v>
      </c>
      <c r="H165" s="209">
        <v>33.5</v>
      </c>
      <c r="I165" s="28">
        <f t="shared" si="24"/>
        <v>0.34900635000000002</v>
      </c>
      <c r="J165" s="35">
        <f t="shared" si="23"/>
        <v>0.34900635000000002</v>
      </c>
      <c r="K165" s="36">
        <f t="shared" si="21"/>
        <v>0.34900635000000002</v>
      </c>
    </row>
    <row r="166" spans="1:11" ht="15" customHeight="1">
      <c r="C166" s="38" t="s">
        <v>257</v>
      </c>
      <c r="D166" s="24" t="s">
        <v>132</v>
      </c>
      <c r="E166" s="169">
        <v>1</v>
      </c>
      <c r="F166" s="209">
        <v>681.2</v>
      </c>
      <c r="G166" s="209">
        <v>3.9</v>
      </c>
      <c r="H166" s="209">
        <v>33.5</v>
      </c>
      <c r="I166" s="28">
        <f t="shared" si="24"/>
        <v>8.8998780000000013E-2</v>
      </c>
      <c r="J166" s="35">
        <f t="shared" si="23"/>
        <v>8.8998780000000013E-2</v>
      </c>
      <c r="K166" s="36">
        <f t="shared" si="21"/>
        <v>8.8998780000000013E-2</v>
      </c>
    </row>
    <row r="167" spans="1:11" ht="15" customHeight="1">
      <c r="C167" s="38" t="s">
        <v>258</v>
      </c>
      <c r="D167" s="24" t="s">
        <v>133</v>
      </c>
      <c r="E167" s="169">
        <v>-1</v>
      </c>
      <c r="F167" s="209">
        <v>703.2</v>
      </c>
      <c r="G167" s="209">
        <v>5.5</v>
      </c>
      <c r="H167" s="209">
        <v>28.3</v>
      </c>
      <c r="I167" s="28">
        <f t="shared" si="24"/>
        <v>-0.10945308000000002</v>
      </c>
      <c r="J167" s="35">
        <f t="shared" si="23"/>
        <v>-0.10945308000000002</v>
      </c>
      <c r="K167" s="36">
        <f t="shared" si="21"/>
        <v>-0.10945308000000002</v>
      </c>
    </row>
    <row r="168" spans="1:11" ht="15" customHeight="1">
      <c r="C168" s="38" t="s">
        <v>259</v>
      </c>
      <c r="D168" s="24" t="s">
        <v>316</v>
      </c>
      <c r="E168" s="169">
        <v>-4</v>
      </c>
      <c r="F168" s="209">
        <v>34</v>
      </c>
      <c r="G168" s="209">
        <v>59.8</v>
      </c>
      <c r="H168" s="209">
        <v>15</v>
      </c>
      <c r="I168" s="28">
        <f t="shared" si="24"/>
        <v>-0.12199199999999999</v>
      </c>
      <c r="J168" s="35"/>
      <c r="K168" s="36">
        <f t="shared" si="21"/>
        <v>-0.12199199999999999</v>
      </c>
    </row>
    <row r="169" spans="1:11" ht="15" customHeight="1">
      <c r="C169" s="38" t="s">
        <v>260</v>
      </c>
      <c r="D169" s="24" t="s">
        <v>316</v>
      </c>
      <c r="E169" s="169">
        <v>-2</v>
      </c>
      <c r="F169" s="209">
        <v>34.4</v>
      </c>
      <c r="G169" s="209">
        <v>22.5</v>
      </c>
      <c r="H169" s="209">
        <v>22</v>
      </c>
      <c r="I169" s="28">
        <f t="shared" si="24"/>
        <v>-3.4056000000000003E-2</v>
      </c>
      <c r="J169" s="35"/>
      <c r="K169" s="36">
        <f t="shared" si="21"/>
        <v>-3.4056000000000003E-2</v>
      </c>
    </row>
    <row r="170" spans="1:11" ht="15" customHeight="1">
      <c r="C170" s="38" t="s">
        <v>261</v>
      </c>
      <c r="D170" s="24" t="s">
        <v>316</v>
      </c>
      <c r="E170" s="169">
        <v>-2</v>
      </c>
      <c r="F170" s="209">
        <v>34.4</v>
      </c>
      <c r="G170" s="209">
        <v>4.9000000000000004</v>
      </c>
      <c r="H170" s="209">
        <v>11.1</v>
      </c>
      <c r="I170" s="28">
        <f t="shared" si="24"/>
        <v>-3.7420320000000002E-3</v>
      </c>
      <c r="J170" s="35"/>
      <c r="K170" s="36">
        <f t="shared" si="21"/>
        <v>-3.7420320000000002E-3</v>
      </c>
    </row>
    <row r="171" spans="1:11" ht="15" customHeight="1">
      <c r="C171" s="38" t="s">
        <v>262</v>
      </c>
      <c r="D171" s="24" t="s">
        <v>316</v>
      </c>
      <c r="E171" s="169">
        <v>-2</v>
      </c>
      <c r="F171" s="223">
        <f>9.4+9.4</f>
        <v>18.8</v>
      </c>
      <c r="G171" s="209">
        <v>9.4</v>
      </c>
      <c r="H171" s="209">
        <v>7</v>
      </c>
      <c r="I171" s="28">
        <f t="shared" si="24"/>
        <v>-2.4740800000000005E-3</v>
      </c>
      <c r="J171" s="35"/>
      <c r="K171" s="36">
        <f t="shared" si="21"/>
        <v>-2.4740800000000005E-3</v>
      </c>
    </row>
    <row r="172" spans="1:11" ht="15" customHeight="1">
      <c r="C172" s="38" t="s">
        <v>263</v>
      </c>
      <c r="D172" s="24" t="s">
        <v>317</v>
      </c>
      <c r="E172" s="169">
        <v>2</v>
      </c>
      <c r="F172" s="209">
        <v>6.1</v>
      </c>
      <c r="G172" s="209">
        <v>480.9</v>
      </c>
      <c r="H172" s="209">
        <v>4.5</v>
      </c>
      <c r="I172" s="28">
        <f t="shared" si="24"/>
        <v>2.6401409999999997E-2</v>
      </c>
      <c r="J172" s="35"/>
      <c r="K172" s="36">
        <f t="shared" si="21"/>
        <v>2.6401409999999997E-2</v>
      </c>
    </row>
    <row r="173" spans="1:11" ht="15" customHeight="1">
      <c r="C173" s="38" t="s">
        <v>264</v>
      </c>
      <c r="D173" s="24" t="s">
        <v>317</v>
      </c>
      <c r="E173" s="169">
        <v>4</v>
      </c>
      <c r="F173" s="209">
        <v>6.1</v>
      </c>
      <c r="G173" s="209">
        <v>210.9</v>
      </c>
      <c r="H173" s="209">
        <v>4.5</v>
      </c>
      <c r="I173" s="28">
        <f t="shared" si="24"/>
        <v>2.3156819999999998E-2</v>
      </c>
      <c r="J173" s="35"/>
      <c r="K173" s="36">
        <f t="shared" si="21"/>
        <v>2.3156819999999998E-2</v>
      </c>
    </row>
    <row r="174" spans="1:11" ht="15" customHeight="1">
      <c r="C174" s="38" t="s">
        <v>265</v>
      </c>
      <c r="D174" s="24" t="s">
        <v>316</v>
      </c>
      <c r="E174" s="169">
        <v>-1</v>
      </c>
      <c r="F174" s="209">
        <v>70</v>
      </c>
      <c r="G174" s="174">
        <v>79.5</v>
      </c>
      <c r="H174" s="209">
        <v>19.7</v>
      </c>
      <c r="I174" s="28">
        <f t="shared" si="24"/>
        <v>-0.10963050000000001</v>
      </c>
      <c r="J174" s="35"/>
      <c r="K174" s="36">
        <f t="shared" si="21"/>
        <v>-0.10963050000000001</v>
      </c>
    </row>
    <row r="175" spans="1:11" ht="15" customHeight="1">
      <c r="C175" s="38" t="s">
        <v>266</v>
      </c>
      <c r="D175" s="24" t="s">
        <v>316</v>
      </c>
      <c r="E175" s="169">
        <v>1</v>
      </c>
      <c r="F175" s="209">
        <v>15.2</v>
      </c>
      <c r="G175" s="209">
        <v>15.2</v>
      </c>
      <c r="H175" s="209">
        <v>19.7</v>
      </c>
      <c r="I175" s="28">
        <f t="shared" si="24"/>
        <v>4.5514879999999994E-3</v>
      </c>
      <c r="J175" s="35"/>
      <c r="K175" s="36">
        <f t="shared" si="21"/>
        <v>4.5514879999999994E-3</v>
      </c>
    </row>
    <row r="176" spans="1:11" ht="15" customHeight="1">
      <c r="C176" s="38" t="s">
        <v>267</v>
      </c>
      <c r="D176" s="24" t="s">
        <v>318</v>
      </c>
      <c r="E176" s="169">
        <v>-1</v>
      </c>
      <c r="F176" s="209">
        <v>506.1</v>
      </c>
      <c r="G176" s="209">
        <v>6</v>
      </c>
      <c r="H176" s="209">
        <v>99.9</v>
      </c>
      <c r="I176" s="28">
        <f t="shared" si="24"/>
        <v>-0.30335634</v>
      </c>
      <c r="J176" s="35"/>
      <c r="K176" s="36">
        <f t="shared" si="21"/>
        <v>-0.30335634</v>
      </c>
    </row>
    <row r="177" spans="1:11" ht="15" customHeight="1">
      <c r="C177" s="38" t="s">
        <v>268</v>
      </c>
      <c r="D177" s="24" t="s">
        <v>319</v>
      </c>
      <c r="E177" s="169">
        <v>1</v>
      </c>
      <c r="F177" s="174">
        <v>514</v>
      </c>
      <c r="G177" s="209">
        <v>5</v>
      </c>
      <c r="H177" s="209">
        <v>3.6</v>
      </c>
      <c r="I177" s="28">
        <f t="shared" si="24"/>
        <v>9.2519999999999998E-3</v>
      </c>
      <c r="J177" s="35"/>
      <c r="K177" s="36">
        <f t="shared" si="21"/>
        <v>9.2519999999999998E-3</v>
      </c>
    </row>
    <row r="178" spans="1:11" ht="15" customHeight="1">
      <c r="C178" s="38" t="s">
        <v>269</v>
      </c>
      <c r="D178" s="24" t="s">
        <v>318</v>
      </c>
      <c r="E178" s="169">
        <v>-1</v>
      </c>
      <c r="F178" s="209">
        <v>68.7</v>
      </c>
      <c r="G178" s="209">
        <v>5</v>
      </c>
      <c r="H178" s="209">
        <v>71.599999999999994</v>
      </c>
      <c r="I178" s="28">
        <f t="shared" si="24"/>
        <v>-2.4594599999999998E-2</v>
      </c>
      <c r="J178" s="35"/>
      <c r="K178" s="36">
        <f t="shared" si="21"/>
        <v>-2.4594599999999998E-2</v>
      </c>
    </row>
    <row r="179" spans="1:11" ht="15" customHeight="1">
      <c r="C179" s="38" t="s">
        <v>270</v>
      </c>
      <c r="D179" s="24" t="s">
        <v>319</v>
      </c>
      <c r="E179" s="169">
        <v>1</v>
      </c>
      <c r="F179" s="209">
        <v>121.3</v>
      </c>
      <c r="G179" s="174">
        <v>10</v>
      </c>
      <c r="H179" s="174">
        <v>49.3</v>
      </c>
      <c r="I179" s="28">
        <f t="shared" si="24"/>
        <v>5.9800899999999997E-2</v>
      </c>
      <c r="J179" s="35"/>
      <c r="K179" s="36">
        <f t="shared" si="21"/>
        <v>5.9800899999999997E-2</v>
      </c>
    </row>
    <row r="180" spans="1:11" ht="15" customHeight="1">
      <c r="C180" s="38" t="s">
        <v>271</v>
      </c>
      <c r="D180" s="24" t="s">
        <v>318</v>
      </c>
      <c r="E180" s="169">
        <v>-2</v>
      </c>
      <c r="F180" s="209">
        <v>136</v>
      </c>
      <c r="G180" s="209">
        <v>4</v>
      </c>
      <c r="H180" s="209">
        <v>3.8</v>
      </c>
      <c r="I180" s="28">
        <f t="shared" si="24"/>
        <v>-4.1343999999999999E-3</v>
      </c>
      <c r="J180" s="35"/>
      <c r="K180" s="36">
        <f t="shared" si="21"/>
        <v>-4.1343999999999999E-3</v>
      </c>
    </row>
    <row r="181" spans="1:11" ht="15" customHeight="1">
      <c r="C181" s="38" t="s">
        <v>272</v>
      </c>
      <c r="D181" s="24" t="s">
        <v>318</v>
      </c>
      <c r="E181" s="169">
        <v>-2</v>
      </c>
      <c r="F181" s="209">
        <v>3.8</v>
      </c>
      <c r="G181" s="209">
        <v>4</v>
      </c>
      <c r="H181" s="209">
        <v>64</v>
      </c>
      <c r="I181" s="28">
        <f t="shared" si="24"/>
        <v>-1.9455999999999998E-3</v>
      </c>
      <c r="J181" s="35"/>
      <c r="K181" s="36">
        <f t="shared" si="21"/>
        <v>-1.9455999999999998E-3</v>
      </c>
    </row>
    <row r="182" spans="1:11" ht="15" customHeight="1">
      <c r="C182" s="5"/>
      <c r="D182" s="24"/>
      <c r="E182" s="172"/>
      <c r="F182" s="25"/>
      <c r="G182" s="25"/>
      <c r="H182" s="25"/>
      <c r="I182" s="28"/>
      <c r="J182" s="31"/>
      <c r="K182" s="26"/>
    </row>
    <row r="183" spans="1:11" s="54" customFormat="1" ht="15" customHeight="1">
      <c r="C183" s="40"/>
      <c r="D183" s="40"/>
      <c r="E183" s="40"/>
      <c r="F183" s="41"/>
      <c r="G183" s="41"/>
      <c r="H183" s="41"/>
      <c r="I183" s="40"/>
      <c r="J183" s="47">
        <f>ROUND(SUM(J85:J182),1)</f>
        <v>373</v>
      </c>
      <c r="K183" s="48">
        <f>ROUND(SUM(K85:K182),1)</f>
        <v>393.9</v>
      </c>
    </row>
    <row r="184" spans="1:11" ht="15" customHeight="1">
      <c r="C184" s="9"/>
      <c r="D184" s="9"/>
      <c r="E184" s="9"/>
      <c r="F184" s="9"/>
      <c r="G184" s="9"/>
      <c r="H184" s="9"/>
      <c r="I184" s="9"/>
      <c r="J184" s="9"/>
      <c r="K184" s="9"/>
    </row>
    <row r="187" spans="1:11" ht="15" customHeight="1">
      <c r="A187" s="189" t="s">
        <v>311</v>
      </c>
    </row>
  </sheetData>
  <mergeCells count="18">
    <mergeCell ref="C128:C129"/>
    <mergeCell ref="D128:D129"/>
    <mergeCell ref="C83:C84"/>
    <mergeCell ref="D83:D84"/>
    <mergeCell ref="F83:H83"/>
    <mergeCell ref="C33:C34"/>
    <mergeCell ref="D33:D34"/>
    <mergeCell ref="H11:I11"/>
    <mergeCell ref="C14:C15"/>
    <mergeCell ref="D14:D15"/>
    <mergeCell ref="F14:H14"/>
    <mergeCell ref="I14:I15"/>
    <mergeCell ref="J7:K7"/>
    <mergeCell ref="H9:I9"/>
    <mergeCell ref="H10:I10"/>
    <mergeCell ref="I83:I84"/>
    <mergeCell ref="J83:K83"/>
    <mergeCell ref="J14:K14"/>
  </mergeCells>
  <phoneticPr fontId="1"/>
  <pageMargins left="0.39370078740157483" right="0.19685039370078741" top="0.39370078740157483" bottom="0.19685039370078741" header="0" footer="0"/>
  <pageSetup paperSize="9" scale="57" fitToWidth="0" fitToHeight="2" orientation="portrait" r:id="rId1"/>
  <headerFooter alignWithMargins="0"/>
  <rowBreaks count="1" manualBreakCount="1">
    <brk id="81" min="2" max="1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</sheetPr>
  <dimension ref="B1:N11"/>
  <sheetViews>
    <sheetView showGridLines="0" workbookViewId="0">
      <selection activeCell="I10" sqref="I10"/>
    </sheetView>
  </sheetViews>
  <sheetFormatPr defaultRowHeight="14.25"/>
  <cols>
    <col min="1" max="1" width="2.625" style="129" customWidth="1"/>
    <col min="2" max="6" width="16.625" style="129" customWidth="1"/>
    <col min="7" max="7" width="1.625" style="129" customWidth="1"/>
    <col min="8" max="9" width="16.625" style="129" customWidth="1"/>
    <col min="10" max="10" width="1.375" style="129" customWidth="1"/>
    <col min="11" max="11" width="4.75" style="128" customWidth="1"/>
    <col min="12" max="12" width="10.625" style="129" customWidth="1"/>
    <col min="13" max="13" width="24.5" style="129" customWidth="1"/>
    <col min="14" max="14" width="15.75" style="129" customWidth="1"/>
    <col min="15" max="15" width="1" style="129" customWidth="1"/>
    <col min="16" max="256" width="9" style="129"/>
    <col min="257" max="257" width="2.625" style="129" customWidth="1"/>
    <col min="258" max="262" width="16.625" style="129" customWidth="1"/>
    <col min="263" max="263" width="1.625" style="129" customWidth="1"/>
    <col min="264" max="265" width="16.625" style="129" customWidth="1"/>
    <col min="266" max="266" width="1.375" style="129" customWidth="1"/>
    <col min="267" max="267" width="4.75" style="129" customWidth="1"/>
    <col min="268" max="268" width="10.625" style="129" customWidth="1"/>
    <col min="269" max="269" width="24.5" style="129" customWidth="1"/>
    <col min="270" max="270" width="15.75" style="129" customWidth="1"/>
    <col min="271" max="271" width="1" style="129" customWidth="1"/>
    <col min="272" max="512" width="9" style="129"/>
    <col min="513" max="513" width="2.625" style="129" customWidth="1"/>
    <col min="514" max="518" width="16.625" style="129" customWidth="1"/>
    <col min="519" max="519" width="1.625" style="129" customWidth="1"/>
    <col min="520" max="521" width="16.625" style="129" customWidth="1"/>
    <col min="522" max="522" width="1.375" style="129" customWidth="1"/>
    <col min="523" max="523" width="4.75" style="129" customWidth="1"/>
    <col min="524" max="524" width="10.625" style="129" customWidth="1"/>
    <col min="525" max="525" width="24.5" style="129" customWidth="1"/>
    <col min="526" max="526" width="15.75" style="129" customWidth="1"/>
    <col min="527" max="527" width="1" style="129" customWidth="1"/>
    <col min="528" max="768" width="9" style="129"/>
    <col min="769" max="769" width="2.625" style="129" customWidth="1"/>
    <col min="770" max="774" width="16.625" style="129" customWidth="1"/>
    <col min="775" max="775" width="1.625" style="129" customWidth="1"/>
    <col min="776" max="777" width="16.625" style="129" customWidth="1"/>
    <col min="778" max="778" width="1.375" style="129" customWidth="1"/>
    <col min="779" max="779" width="4.75" style="129" customWidth="1"/>
    <col min="780" max="780" width="10.625" style="129" customWidth="1"/>
    <col min="781" max="781" width="24.5" style="129" customWidth="1"/>
    <col min="782" max="782" width="15.75" style="129" customWidth="1"/>
    <col min="783" max="783" width="1" style="129" customWidth="1"/>
    <col min="784" max="1024" width="9" style="129"/>
    <col min="1025" max="1025" width="2.625" style="129" customWidth="1"/>
    <col min="1026" max="1030" width="16.625" style="129" customWidth="1"/>
    <col min="1031" max="1031" width="1.625" style="129" customWidth="1"/>
    <col min="1032" max="1033" width="16.625" style="129" customWidth="1"/>
    <col min="1034" max="1034" width="1.375" style="129" customWidth="1"/>
    <col min="1035" max="1035" width="4.75" style="129" customWidth="1"/>
    <col min="1036" max="1036" width="10.625" style="129" customWidth="1"/>
    <col min="1037" max="1037" width="24.5" style="129" customWidth="1"/>
    <col min="1038" max="1038" width="15.75" style="129" customWidth="1"/>
    <col min="1039" max="1039" width="1" style="129" customWidth="1"/>
    <col min="1040" max="1280" width="9" style="129"/>
    <col min="1281" max="1281" width="2.625" style="129" customWidth="1"/>
    <col min="1282" max="1286" width="16.625" style="129" customWidth="1"/>
    <col min="1287" max="1287" width="1.625" style="129" customWidth="1"/>
    <col min="1288" max="1289" width="16.625" style="129" customWidth="1"/>
    <col min="1290" max="1290" width="1.375" style="129" customWidth="1"/>
    <col min="1291" max="1291" width="4.75" style="129" customWidth="1"/>
    <col min="1292" max="1292" width="10.625" style="129" customWidth="1"/>
    <col min="1293" max="1293" width="24.5" style="129" customWidth="1"/>
    <col min="1294" max="1294" width="15.75" style="129" customWidth="1"/>
    <col min="1295" max="1295" width="1" style="129" customWidth="1"/>
    <col min="1296" max="1536" width="9" style="129"/>
    <col min="1537" max="1537" width="2.625" style="129" customWidth="1"/>
    <col min="1538" max="1542" width="16.625" style="129" customWidth="1"/>
    <col min="1543" max="1543" width="1.625" style="129" customWidth="1"/>
    <col min="1544" max="1545" width="16.625" style="129" customWidth="1"/>
    <col min="1546" max="1546" width="1.375" style="129" customWidth="1"/>
    <col min="1547" max="1547" width="4.75" style="129" customWidth="1"/>
    <col min="1548" max="1548" width="10.625" style="129" customWidth="1"/>
    <col min="1549" max="1549" width="24.5" style="129" customWidth="1"/>
    <col min="1550" max="1550" width="15.75" style="129" customWidth="1"/>
    <col min="1551" max="1551" width="1" style="129" customWidth="1"/>
    <col min="1552" max="1792" width="9" style="129"/>
    <col min="1793" max="1793" width="2.625" style="129" customWidth="1"/>
    <col min="1794" max="1798" width="16.625" style="129" customWidth="1"/>
    <col min="1799" max="1799" width="1.625" style="129" customWidth="1"/>
    <col min="1800" max="1801" width="16.625" style="129" customWidth="1"/>
    <col min="1802" max="1802" width="1.375" style="129" customWidth="1"/>
    <col min="1803" max="1803" width="4.75" style="129" customWidth="1"/>
    <col min="1804" max="1804" width="10.625" style="129" customWidth="1"/>
    <col min="1805" max="1805" width="24.5" style="129" customWidth="1"/>
    <col min="1806" max="1806" width="15.75" style="129" customWidth="1"/>
    <col min="1807" max="1807" width="1" style="129" customWidth="1"/>
    <col min="1808" max="2048" width="9" style="129"/>
    <col min="2049" max="2049" width="2.625" style="129" customWidth="1"/>
    <col min="2050" max="2054" width="16.625" style="129" customWidth="1"/>
    <col min="2055" max="2055" width="1.625" style="129" customWidth="1"/>
    <col min="2056" max="2057" width="16.625" style="129" customWidth="1"/>
    <col min="2058" max="2058" width="1.375" style="129" customWidth="1"/>
    <col min="2059" max="2059" width="4.75" style="129" customWidth="1"/>
    <col min="2060" max="2060" width="10.625" style="129" customWidth="1"/>
    <col min="2061" max="2061" width="24.5" style="129" customWidth="1"/>
    <col min="2062" max="2062" width="15.75" style="129" customWidth="1"/>
    <col min="2063" max="2063" width="1" style="129" customWidth="1"/>
    <col min="2064" max="2304" width="9" style="129"/>
    <col min="2305" max="2305" width="2.625" style="129" customWidth="1"/>
    <col min="2306" max="2310" width="16.625" style="129" customWidth="1"/>
    <col min="2311" max="2311" width="1.625" style="129" customWidth="1"/>
    <col min="2312" max="2313" width="16.625" style="129" customWidth="1"/>
    <col min="2314" max="2314" width="1.375" style="129" customWidth="1"/>
    <col min="2315" max="2315" width="4.75" style="129" customWidth="1"/>
    <col min="2316" max="2316" width="10.625" style="129" customWidth="1"/>
    <col min="2317" max="2317" width="24.5" style="129" customWidth="1"/>
    <col min="2318" max="2318" width="15.75" style="129" customWidth="1"/>
    <col min="2319" max="2319" width="1" style="129" customWidth="1"/>
    <col min="2320" max="2560" width="9" style="129"/>
    <col min="2561" max="2561" width="2.625" style="129" customWidth="1"/>
    <col min="2562" max="2566" width="16.625" style="129" customWidth="1"/>
    <col min="2567" max="2567" width="1.625" style="129" customWidth="1"/>
    <col min="2568" max="2569" width="16.625" style="129" customWidth="1"/>
    <col min="2570" max="2570" width="1.375" style="129" customWidth="1"/>
    <col min="2571" max="2571" width="4.75" style="129" customWidth="1"/>
    <col min="2572" max="2572" width="10.625" style="129" customWidth="1"/>
    <col min="2573" max="2573" width="24.5" style="129" customWidth="1"/>
    <col min="2574" max="2574" width="15.75" style="129" customWidth="1"/>
    <col min="2575" max="2575" width="1" style="129" customWidth="1"/>
    <col min="2576" max="2816" width="9" style="129"/>
    <col min="2817" max="2817" width="2.625" style="129" customWidth="1"/>
    <col min="2818" max="2822" width="16.625" style="129" customWidth="1"/>
    <col min="2823" max="2823" width="1.625" style="129" customWidth="1"/>
    <col min="2824" max="2825" width="16.625" style="129" customWidth="1"/>
    <col min="2826" max="2826" width="1.375" style="129" customWidth="1"/>
    <col min="2827" max="2827" width="4.75" style="129" customWidth="1"/>
    <col min="2828" max="2828" width="10.625" style="129" customWidth="1"/>
    <col min="2829" max="2829" width="24.5" style="129" customWidth="1"/>
    <col min="2830" max="2830" width="15.75" style="129" customWidth="1"/>
    <col min="2831" max="2831" width="1" style="129" customWidth="1"/>
    <col min="2832" max="3072" width="9" style="129"/>
    <col min="3073" max="3073" width="2.625" style="129" customWidth="1"/>
    <col min="3074" max="3078" width="16.625" style="129" customWidth="1"/>
    <col min="3079" max="3079" width="1.625" style="129" customWidth="1"/>
    <col min="3080" max="3081" width="16.625" style="129" customWidth="1"/>
    <col min="3082" max="3082" width="1.375" style="129" customWidth="1"/>
    <col min="3083" max="3083" width="4.75" style="129" customWidth="1"/>
    <col min="3084" max="3084" width="10.625" style="129" customWidth="1"/>
    <col min="3085" max="3085" width="24.5" style="129" customWidth="1"/>
    <col min="3086" max="3086" width="15.75" style="129" customWidth="1"/>
    <col min="3087" max="3087" width="1" style="129" customWidth="1"/>
    <col min="3088" max="3328" width="9" style="129"/>
    <col min="3329" max="3329" width="2.625" style="129" customWidth="1"/>
    <col min="3330" max="3334" width="16.625" style="129" customWidth="1"/>
    <col min="3335" max="3335" width="1.625" style="129" customWidth="1"/>
    <col min="3336" max="3337" width="16.625" style="129" customWidth="1"/>
    <col min="3338" max="3338" width="1.375" style="129" customWidth="1"/>
    <col min="3339" max="3339" width="4.75" style="129" customWidth="1"/>
    <col min="3340" max="3340" width="10.625" style="129" customWidth="1"/>
    <col min="3341" max="3341" width="24.5" style="129" customWidth="1"/>
    <col min="3342" max="3342" width="15.75" style="129" customWidth="1"/>
    <col min="3343" max="3343" width="1" style="129" customWidth="1"/>
    <col min="3344" max="3584" width="9" style="129"/>
    <col min="3585" max="3585" width="2.625" style="129" customWidth="1"/>
    <col min="3586" max="3590" width="16.625" style="129" customWidth="1"/>
    <col min="3591" max="3591" width="1.625" style="129" customWidth="1"/>
    <col min="3592" max="3593" width="16.625" style="129" customWidth="1"/>
    <col min="3594" max="3594" width="1.375" style="129" customWidth="1"/>
    <col min="3595" max="3595" width="4.75" style="129" customWidth="1"/>
    <col min="3596" max="3596" width="10.625" style="129" customWidth="1"/>
    <col min="3597" max="3597" width="24.5" style="129" customWidth="1"/>
    <col min="3598" max="3598" width="15.75" style="129" customWidth="1"/>
    <col min="3599" max="3599" width="1" style="129" customWidth="1"/>
    <col min="3600" max="3840" width="9" style="129"/>
    <col min="3841" max="3841" width="2.625" style="129" customWidth="1"/>
    <col min="3842" max="3846" width="16.625" style="129" customWidth="1"/>
    <col min="3847" max="3847" width="1.625" style="129" customWidth="1"/>
    <col min="3848" max="3849" width="16.625" style="129" customWidth="1"/>
    <col min="3850" max="3850" width="1.375" style="129" customWidth="1"/>
    <col min="3851" max="3851" width="4.75" style="129" customWidth="1"/>
    <col min="3852" max="3852" width="10.625" style="129" customWidth="1"/>
    <col min="3853" max="3853" width="24.5" style="129" customWidth="1"/>
    <col min="3854" max="3854" width="15.75" style="129" customWidth="1"/>
    <col min="3855" max="3855" width="1" style="129" customWidth="1"/>
    <col min="3856" max="4096" width="9" style="129"/>
    <col min="4097" max="4097" width="2.625" style="129" customWidth="1"/>
    <col min="4098" max="4102" width="16.625" style="129" customWidth="1"/>
    <col min="4103" max="4103" width="1.625" style="129" customWidth="1"/>
    <col min="4104" max="4105" width="16.625" style="129" customWidth="1"/>
    <col min="4106" max="4106" width="1.375" style="129" customWidth="1"/>
    <col min="4107" max="4107" width="4.75" style="129" customWidth="1"/>
    <col min="4108" max="4108" width="10.625" style="129" customWidth="1"/>
    <col min="4109" max="4109" width="24.5" style="129" customWidth="1"/>
    <col min="4110" max="4110" width="15.75" style="129" customWidth="1"/>
    <col min="4111" max="4111" width="1" style="129" customWidth="1"/>
    <col min="4112" max="4352" width="9" style="129"/>
    <col min="4353" max="4353" width="2.625" style="129" customWidth="1"/>
    <col min="4354" max="4358" width="16.625" style="129" customWidth="1"/>
    <col min="4359" max="4359" width="1.625" style="129" customWidth="1"/>
    <col min="4360" max="4361" width="16.625" style="129" customWidth="1"/>
    <col min="4362" max="4362" width="1.375" style="129" customWidth="1"/>
    <col min="4363" max="4363" width="4.75" style="129" customWidth="1"/>
    <col min="4364" max="4364" width="10.625" style="129" customWidth="1"/>
    <col min="4365" max="4365" width="24.5" style="129" customWidth="1"/>
    <col min="4366" max="4366" width="15.75" style="129" customWidth="1"/>
    <col min="4367" max="4367" width="1" style="129" customWidth="1"/>
    <col min="4368" max="4608" width="9" style="129"/>
    <col min="4609" max="4609" width="2.625" style="129" customWidth="1"/>
    <col min="4610" max="4614" width="16.625" style="129" customWidth="1"/>
    <col min="4615" max="4615" width="1.625" style="129" customWidth="1"/>
    <col min="4616" max="4617" width="16.625" style="129" customWidth="1"/>
    <col min="4618" max="4618" width="1.375" style="129" customWidth="1"/>
    <col min="4619" max="4619" width="4.75" style="129" customWidth="1"/>
    <col min="4620" max="4620" width="10.625" style="129" customWidth="1"/>
    <col min="4621" max="4621" width="24.5" style="129" customWidth="1"/>
    <col min="4622" max="4622" width="15.75" style="129" customWidth="1"/>
    <col min="4623" max="4623" width="1" style="129" customWidth="1"/>
    <col min="4624" max="4864" width="9" style="129"/>
    <col min="4865" max="4865" width="2.625" style="129" customWidth="1"/>
    <col min="4866" max="4870" width="16.625" style="129" customWidth="1"/>
    <col min="4871" max="4871" width="1.625" style="129" customWidth="1"/>
    <col min="4872" max="4873" width="16.625" style="129" customWidth="1"/>
    <col min="4874" max="4874" width="1.375" style="129" customWidth="1"/>
    <col min="4875" max="4875" width="4.75" style="129" customWidth="1"/>
    <col min="4876" max="4876" width="10.625" style="129" customWidth="1"/>
    <col min="4877" max="4877" width="24.5" style="129" customWidth="1"/>
    <col min="4878" max="4878" width="15.75" style="129" customWidth="1"/>
    <col min="4879" max="4879" width="1" style="129" customWidth="1"/>
    <col min="4880" max="5120" width="9" style="129"/>
    <col min="5121" max="5121" width="2.625" style="129" customWidth="1"/>
    <col min="5122" max="5126" width="16.625" style="129" customWidth="1"/>
    <col min="5127" max="5127" width="1.625" style="129" customWidth="1"/>
    <col min="5128" max="5129" width="16.625" style="129" customWidth="1"/>
    <col min="5130" max="5130" width="1.375" style="129" customWidth="1"/>
    <col min="5131" max="5131" width="4.75" style="129" customWidth="1"/>
    <col min="5132" max="5132" width="10.625" style="129" customWidth="1"/>
    <col min="5133" max="5133" width="24.5" style="129" customWidth="1"/>
    <col min="5134" max="5134" width="15.75" style="129" customWidth="1"/>
    <col min="5135" max="5135" width="1" style="129" customWidth="1"/>
    <col min="5136" max="5376" width="9" style="129"/>
    <col min="5377" max="5377" width="2.625" style="129" customWidth="1"/>
    <col min="5378" max="5382" width="16.625" style="129" customWidth="1"/>
    <col min="5383" max="5383" width="1.625" style="129" customWidth="1"/>
    <col min="5384" max="5385" width="16.625" style="129" customWidth="1"/>
    <col min="5386" max="5386" width="1.375" style="129" customWidth="1"/>
    <col min="5387" max="5387" width="4.75" style="129" customWidth="1"/>
    <col min="5388" max="5388" width="10.625" style="129" customWidth="1"/>
    <col min="5389" max="5389" width="24.5" style="129" customWidth="1"/>
    <col min="5390" max="5390" width="15.75" style="129" customWidth="1"/>
    <col min="5391" max="5391" width="1" style="129" customWidth="1"/>
    <col min="5392" max="5632" width="9" style="129"/>
    <col min="5633" max="5633" width="2.625" style="129" customWidth="1"/>
    <col min="5634" max="5638" width="16.625" style="129" customWidth="1"/>
    <col min="5639" max="5639" width="1.625" style="129" customWidth="1"/>
    <col min="5640" max="5641" width="16.625" style="129" customWidth="1"/>
    <col min="5642" max="5642" width="1.375" style="129" customWidth="1"/>
    <col min="5643" max="5643" width="4.75" style="129" customWidth="1"/>
    <col min="5644" max="5644" width="10.625" style="129" customWidth="1"/>
    <col min="5645" max="5645" width="24.5" style="129" customWidth="1"/>
    <col min="5646" max="5646" width="15.75" style="129" customWidth="1"/>
    <col min="5647" max="5647" width="1" style="129" customWidth="1"/>
    <col min="5648" max="5888" width="9" style="129"/>
    <col min="5889" max="5889" width="2.625" style="129" customWidth="1"/>
    <col min="5890" max="5894" width="16.625" style="129" customWidth="1"/>
    <col min="5895" max="5895" width="1.625" style="129" customWidth="1"/>
    <col min="5896" max="5897" width="16.625" style="129" customWidth="1"/>
    <col min="5898" max="5898" width="1.375" style="129" customWidth="1"/>
    <col min="5899" max="5899" width="4.75" style="129" customWidth="1"/>
    <col min="5900" max="5900" width="10.625" style="129" customWidth="1"/>
    <col min="5901" max="5901" width="24.5" style="129" customWidth="1"/>
    <col min="5902" max="5902" width="15.75" style="129" customWidth="1"/>
    <col min="5903" max="5903" width="1" style="129" customWidth="1"/>
    <col min="5904" max="6144" width="9" style="129"/>
    <col min="6145" max="6145" width="2.625" style="129" customWidth="1"/>
    <col min="6146" max="6150" width="16.625" style="129" customWidth="1"/>
    <col min="6151" max="6151" width="1.625" style="129" customWidth="1"/>
    <col min="6152" max="6153" width="16.625" style="129" customWidth="1"/>
    <col min="6154" max="6154" width="1.375" style="129" customWidth="1"/>
    <col min="6155" max="6155" width="4.75" style="129" customWidth="1"/>
    <col min="6156" max="6156" width="10.625" style="129" customWidth="1"/>
    <col min="6157" max="6157" width="24.5" style="129" customWidth="1"/>
    <col min="6158" max="6158" width="15.75" style="129" customWidth="1"/>
    <col min="6159" max="6159" width="1" style="129" customWidth="1"/>
    <col min="6160" max="6400" width="9" style="129"/>
    <col min="6401" max="6401" width="2.625" style="129" customWidth="1"/>
    <col min="6402" max="6406" width="16.625" style="129" customWidth="1"/>
    <col min="6407" max="6407" width="1.625" style="129" customWidth="1"/>
    <col min="6408" max="6409" width="16.625" style="129" customWidth="1"/>
    <col min="6410" max="6410" width="1.375" style="129" customWidth="1"/>
    <col min="6411" max="6411" width="4.75" style="129" customWidth="1"/>
    <col min="6412" max="6412" width="10.625" style="129" customWidth="1"/>
    <col min="6413" max="6413" width="24.5" style="129" customWidth="1"/>
    <col min="6414" max="6414" width="15.75" style="129" customWidth="1"/>
    <col min="6415" max="6415" width="1" style="129" customWidth="1"/>
    <col min="6416" max="6656" width="9" style="129"/>
    <col min="6657" max="6657" width="2.625" style="129" customWidth="1"/>
    <col min="6658" max="6662" width="16.625" style="129" customWidth="1"/>
    <col min="6663" max="6663" width="1.625" style="129" customWidth="1"/>
    <col min="6664" max="6665" width="16.625" style="129" customWidth="1"/>
    <col min="6666" max="6666" width="1.375" style="129" customWidth="1"/>
    <col min="6667" max="6667" width="4.75" style="129" customWidth="1"/>
    <col min="6668" max="6668" width="10.625" style="129" customWidth="1"/>
    <col min="6669" max="6669" width="24.5" style="129" customWidth="1"/>
    <col min="6670" max="6670" width="15.75" style="129" customWidth="1"/>
    <col min="6671" max="6671" width="1" style="129" customWidth="1"/>
    <col min="6672" max="6912" width="9" style="129"/>
    <col min="6913" max="6913" width="2.625" style="129" customWidth="1"/>
    <col min="6914" max="6918" width="16.625" style="129" customWidth="1"/>
    <col min="6919" max="6919" width="1.625" style="129" customWidth="1"/>
    <col min="6920" max="6921" width="16.625" style="129" customWidth="1"/>
    <col min="6922" max="6922" width="1.375" style="129" customWidth="1"/>
    <col min="6923" max="6923" width="4.75" style="129" customWidth="1"/>
    <col min="6924" max="6924" width="10.625" style="129" customWidth="1"/>
    <col min="6925" max="6925" width="24.5" style="129" customWidth="1"/>
    <col min="6926" max="6926" width="15.75" style="129" customWidth="1"/>
    <col min="6927" max="6927" width="1" style="129" customWidth="1"/>
    <col min="6928" max="7168" width="9" style="129"/>
    <col min="7169" max="7169" width="2.625" style="129" customWidth="1"/>
    <col min="7170" max="7174" width="16.625" style="129" customWidth="1"/>
    <col min="7175" max="7175" width="1.625" style="129" customWidth="1"/>
    <col min="7176" max="7177" width="16.625" style="129" customWidth="1"/>
    <col min="7178" max="7178" width="1.375" style="129" customWidth="1"/>
    <col min="7179" max="7179" width="4.75" style="129" customWidth="1"/>
    <col min="7180" max="7180" width="10.625" style="129" customWidth="1"/>
    <col min="7181" max="7181" width="24.5" style="129" customWidth="1"/>
    <col min="7182" max="7182" width="15.75" style="129" customWidth="1"/>
    <col min="7183" max="7183" width="1" style="129" customWidth="1"/>
    <col min="7184" max="7424" width="9" style="129"/>
    <col min="7425" max="7425" width="2.625" style="129" customWidth="1"/>
    <col min="7426" max="7430" width="16.625" style="129" customWidth="1"/>
    <col min="7431" max="7431" width="1.625" style="129" customWidth="1"/>
    <col min="7432" max="7433" width="16.625" style="129" customWidth="1"/>
    <col min="7434" max="7434" width="1.375" style="129" customWidth="1"/>
    <col min="7435" max="7435" width="4.75" style="129" customWidth="1"/>
    <col min="7436" max="7436" width="10.625" style="129" customWidth="1"/>
    <col min="7437" max="7437" width="24.5" style="129" customWidth="1"/>
    <col min="7438" max="7438" width="15.75" style="129" customWidth="1"/>
    <col min="7439" max="7439" width="1" style="129" customWidth="1"/>
    <col min="7440" max="7680" width="9" style="129"/>
    <col min="7681" max="7681" width="2.625" style="129" customWidth="1"/>
    <col min="7682" max="7686" width="16.625" style="129" customWidth="1"/>
    <col min="7687" max="7687" width="1.625" style="129" customWidth="1"/>
    <col min="7688" max="7689" width="16.625" style="129" customWidth="1"/>
    <col min="7690" max="7690" width="1.375" style="129" customWidth="1"/>
    <col min="7691" max="7691" width="4.75" style="129" customWidth="1"/>
    <col min="7692" max="7692" width="10.625" style="129" customWidth="1"/>
    <col min="7693" max="7693" width="24.5" style="129" customWidth="1"/>
    <col min="7694" max="7694" width="15.75" style="129" customWidth="1"/>
    <col min="7695" max="7695" width="1" style="129" customWidth="1"/>
    <col min="7696" max="7936" width="9" style="129"/>
    <col min="7937" max="7937" width="2.625" style="129" customWidth="1"/>
    <col min="7938" max="7942" width="16.625" style="129" customWidth="1"/>
    <col min="7943" max="7943" width="1.625" style="129" customWidth="1"/>
    <col min="7944" max="7945" width="16.625" style="129" customWidth="1"/>
    <col min="7946" max="7946" width="1.375" style="129" customWidth="1"/>
    <col min="7947" max="7947" width="4.75" style="129" customWidth="1"/>
    <col min="7948" max="7948" width="10.625" style="129" customWidth="1"/>
    <col min="7949" max="7949" width="24.5" style="129" customWidth="1"/>
    <col min="7950" max="7950" width="15.75" style="129" customWidth="1"/>
    <col min="7951" max="7951" width="1" style="129" customWidth="1"/>
    <col min="7952" max="8192" width="9" style="129"/>
    <col min="8193" max="8193" width="2.625" style="129" customWidth="1"/>
    <col min="8194" max="8198" width="16.625" style="129" customWidth="1"/>
    <col min="8199" max="8199" width="1.625" style="129" customWidth="1"/>
    <col min="8200" max="8201" width="16.625" style="129" customWidth="1"/>
    <col min="8202" max="8202" width="1.375" style="129" customWidth="1"/>
    <col min="8203" max="8203" width="4.75" style="129" customWidth="1"/>
    <col min="8204" max="8204" width="10.625" style="129" customWidth="1"/>
    <col min="8205" max="8205" width="24.5" style="129" customWidth="1"/>
    <col min="8206" max="8206" width="15.75" style="129" customWidth="1"/>
    <col min="8207" max="8207" width="1" style="129" customWidth="1"/>
    <col min="8208" max="8448" width="9" style="129"/>
    <col min="8449" max="8449" width="2.625" style="129" customWidth="1"/>
    <col min="8450" max="8454" width="16.625" style="129" customWidth="1"/>
    <col min="8455" max="8455" width="1.625" style="129" customWidth="1"/>
    <col min="8456" max="8457" width="16.625" style="129" customWidth="1"/>
    <col min="8458" max="8458" width="1.375" style="129" customWidth="1"/>
    <col min="8459" max="8459" width="4.75" style="129" customWidth="1"/>
    <col min="8460" max="8460" width="10.625" style="129" customWidth="1"/>
    <col min="8461" max="8461" width="24.5" style="129" customWidth="1"/>
    <col min="8462" max="8462" width="15.75" style="129" customWidth="1"/>
    <col min="8463" max="8463" width="1" style="129" customWidth="1"/>
    <col min="8464" max="8704" width="9" style="129"/>
    <col min="8705" max="8705" width="2.625" style="129" customWidth="1"/>
    <col min="8706" max="8710" width="16.625" style="129" customWidth="1"/>
    <col min="8711" max="8711" width="1.625" style="129" customWidth="1"/>
    <col min="8712" max="8713" width="16.625" style="129" customWidth="1"/>
    <col min="8714" max="8714" width="1.375" style="129" customWidth="1"/>
    <col min="8715" max="8715" width="4.75" style="129" customWidth="1"/>
    <col min="8716" max="8716" width="10.625" style="129" customWidth="1"/>
    <col min="8717" max="8717" width="24.5" style="129" customWidth="1"/>
    <col min="8718" max="8718" width="15.75" style="129" customWidth="1"/>
    <col min="8719" max="8719" width="1" style="129" customWidth="1"/>
    <col min="8720" max="8960" width="9" style="129"/>
    <col min="8961" max="8961" width="2.625" style="129" customWidth="1"/>
    <col min="8962" max="8966" width="16.625" style="129" customWidth="1"/>
    <col min="8967" max="8967" width="1.625" style="129" customWidth="1"/>
    <col min="8968" max="8969" width="16.625" style="129" customWidth="1"/>
    <col min="8970" max="8970" width="1.375" style="129" customWidth="1"/>
    <col min="8971" max="8971" width="4.75" style="129" customWidth="1"/>
    <col min="8972" max="8972" width="10.625" style="129" customWidth="1"/>
    <col min="8973" max="8973" width="24.5" style="129" customWidth="1"/>
    <col min="8974" max="8974" width="15.75" style="129" customWidth="1"/>
    <col min="8975" max="8975" width="1" style="129" customWidth="1"/>
    <col min="8976" max="9216" width="9" style="129"/>
    <col min="9217" max="9217" width="2.625" style="129" customWidth="1"/>
    <col min="9218" max="9222" width="16.625" style="129" customWidth="1"/>
    <col min="9223" max="9223" width="1.625" style="129" customWidth="1"/>
    <col min="9224" max="9225" width="16.625" style="129" customWidth="1"/>
    <col min="9226" max="9226" width="1.375" style="129" customWidth="1"/>
    <col min="9227" max="9227" width="4.75" style="129" customWidth="1"/>
    <col min="9228" max="9228" width="10.625" style="129" customWidth="1"/>
    <col min="9229" max="9229" width="24.5" style="129" customWidth="1"/>
    <col min="9230" max="9230" width="15.75" style="129" customWidth="1"/>
    <col min="9231" max="9231" width="1" style="129" customWidth="1"/>
    <col min="9232" max="9472" width="9" style="129"/>
    <col min="9473" max="9473" width="2.625" style="129" customWidth="1"/>
    <col min="9474" max="9478" width="16.625" style="129" customWidth="1"/>
    <col min="9479" max="9479" width="1.625" style="129" customWidth="1"/>
    <col min="9480" max="9481" width="16.625" style="129" customWidth="1"/>
    <col min="9482" max="9482" width="1.375" style="129" customWidth="1"/>
    <col min="9483" max="9483" width="4.75" style="129" customWidth="1"/>
    <col min="9484" max="9484" width="10.625" style="129" customWidth="1"/>
    <col min="9485" max="9485" width="24.5" style="129" customWidth="1"/>
    <col min="9486" max="9486" width="15.75" style="129" customWidth="1"/>
    <col min="9487" max="9487" width="1" style="129" customWidth="1"/>
    <col min="9488" max="9728" width="9" style="129"/>
    <col min="9729" max="9729" width="2.625" style="129" customWidth="1"/>
    <col min="9730" max="9734" width="16.625" style="129" customWidth="1"/>
    <col min="9735" max="9735" width="1.625" style="129" customWidth="1"/>
    <col min="9736" max="9737" width="16.625" style="129" customWidth="1"/>
    <col min="9738" max="9738" width="1.375" style="129" customWidth="1"/>
    <col min="9739" max="9739" width="4.75" style="129" customWidth="1"/>
    <col min="9740" max="9740" width="10.625" style="129" customWidth="1"/>
    <col min="9741" max="9741" width="24.5" style="129" customWidth="1"/>
    <col min="9742" max="9742" width="15.75" style="129" customWidth="1"/>
    <col min="9743" max="9743" width="1" style="129" customWidth="1"/>
    <col min="9744" max="9984" width="9" style="129"/>
    <col min="9985" max="9985" width="2.625" style="129" customWidth="1"/>
    <col min="9986" max="9990" width="16.625" style="129" customWidth="1"/>
    <col min="9991" max="9991" width="1.625" style="129" customWidth="1"/>
    <col min="9992" max="9993" width="16.625" style="129" customWidth="1"/>
    <col min="9994" max="9994" width="1.375" style="129" customWidth="1"/>
    <col min="9995" max="9995" width="4.75" style="129" customWidth="1"/>
    <col min="9996" max="9996" width="10.625" style="129" customWidth="1"/>
    <col min="9997" max="9997" width="24.5" style="129" customWidth="1"/>
    <col min="9998" max="9998" width="15.75" style="129" customWidth="1"/>
    <col min="9999" max="9999" width="1" style="129" customWidth="1"/>
    <col min="10000" max="10240" width="9" style="129"/>
    <col min="10241" max="10241" width="2.625" style="129" customWidth="1"/>
    <col min="10242" max="10246" width="16.625" style="129" customWidth="1"/>
    <col min="10247" max="10247" width="1.625" style="129" customWidth="1"/>
    <col min="10248" max="10249" width="16.625" style="129" customWidth="1"/>
    <col min="10250" max="10250" width="1.375" style="129" customWidth="1"/>
    <col min="10251" max="10251" width="4.75" style="129" customWidth="1"/>
    <col min="10252" max="10252" width="10.625" style="129" customWidth="1"/>
    <col min="10253" max="10253" width="24.5" style="129" customWidth="1"/>
    <col min="10254" max="10254" width="15.75" style="129" customWidth="1"/>
    <col min="10255" max="10255" width="1" style="129" customWidth="1"/>
    <col min="10256" max="10496" width="9" style="129"/>
    <col min="10497" max="10497" width="2.625" style="129" customWidth="1"/>
    <col min="10498" max="10502" width="16.625" style="129" customWidth="1"/>
    <col min="10503" max="10503" width="1.625" style="129" customWidth="1"/>
    <col min="10504" max="10505" width="16.625" style="129" customWidth="1"/>
    <col min="10506" max="10506" width="1.375" style="129" customWidth="1"/>
    <col min="10507" max="10507" width="4.75" style="129" customWidth="1"/>
    <col min="10508" max="10508" width="10.625" style="129" customWidth="1"/>
    <col min="10509" max="10509" width="24.5" style="129" customWidth="1"/>
    <col min="10510" max="10510" width="15.75" style="129" customWidth="1"/>
    <col min="10511" max="10511" width="1" style="129" customWidth="1"/>
    <col min="10512" max="10752" width="9" style="129"/>
    <col min="10753" max="10753" width="2.625" style="129" customWidth="1"/>
    <col min="10754" max="10758" width="16.625" style="129" customWidth="1"/>
    <col min="10759" max="10759" width="1.625" style="129" customWidth="1"/>
    <col min="10760" max="10761" width="16.625" style="129" customWidth="1"/>
    <col min="10762" max="10762" width="1.375" style="129" customWidth="1"/>
    <col min="10763" max="10763" width="4.75" style="129" customWidth="1"/>
    <col min="10764" max="10764" width="10.625" style="129" customWidth="1"/>
    <col min="10765" max="10765" width="24.5" style="129" customWidth="1"/>
    <col min="10766" max="10766" width="15.75" style="129" customWidth="1"/>
    <col min="10767" max="10767" width="1" style="129" customWidth="1"/>
    <col min="10768" max="11008" width="9" style="129"/>
    <col min="11009" max="11009" width="2.625" style="129" customWidth="1"/>
    <col min="11010" max="11014" width="16.625" style="129" customWidth="1"/>
    <col min="11015" max="11015" width="1.625" style="129" customWidth="1"/>
    <col min="11016" max="11017" width="16.625" style="129" customWidth="1"/>
    <col min="11018" max="11018" width="1.375" style="129" customWidth="1"/>
    <col min="11019" max="11019" width="4.75" style="129" customWidth="1"/>
    <col min="11020" max="11020" width="10.625" style="129" customWidth="1"/>
    <col min="11021" max="11021" width="24.5" style="129" customWidth="1"/>
    <col min="11022" max="11022" width="15.75" style="129" customWidth="1"/>
    <col min="11023" max="11023" width="1" style="129" customWidth="1"/>
    <col min="11024" max="11264" width="9" style="129"/>
    <col min="11265" max="11265" width="2.625" style="129" customWidth="1"/>
    <col min="11266" max="11270" width="16.625" style="129" customWidth="1"/>
    <col min="11271" max="11271" width="1.625" style="129" customWidth="1"/>
    <col min="11272" max="11273" width="16.625" style="129" customWidth="1"/>
    <col min="11274" max="11274" width="1.375" style="129" customWidth="1"/>
    <col min="11275" max="11275" width="4.75" style="129" customWidth="1"/>
    <col min="11276" max="11276" width="10.625" style="129" customWidth="1"/>
    <col min="11277" max="11277" width="24.5" style="129" customWidth="1"/>
    <col min="11278" max="11278" width="15.75" style="129" customWidth="1"/>
    <col min="11279" max="11279" width="1" style="129" customWidth="1"/>
    <col min="11280" max="11520" width="9" style="129"/>
    <col min="11521" max="11521" width="2.625" style="129" customWidth="1"/>
    <col min="11522" max="11526" width="16.625" style="129" customWidth="1"/>
    <col min="11527" max="11527" width="1.625" style="129" customWidth="1"/>
    <col min="11528" max="11529" width="16.625" style="129" customWidth="1"/>
    <col min="11530" max="11530" width="1.375" style="129" customWidth="1"/>
    <col min="11531" max="11531" width="4.75" style="129" customWidth="1"/>
    <col min="11532" max="11532" width="10.625" style="129" customWidth="1"/>
    <col min="11533" max="11533" width="24.5" style="129" customWidth="1"/>
    <col min="11534" max="11534" width="15.75" style="129" customWidth="1"/>
    <col min="11535" max="11535" width="1" style="129" customWidth="1"/>
    <col min="11536" max="11776" width="9" style="129"/>
    <col min="11777" max="11777" width="2.625" style="129" customWidth="1"/>
    <col min="11778" max="11782" width="16.625" style="129" customWidth="1"/>
    <col min="11783" max="11783" width="1.625" style="129" customWidth="1"/>
    <col min="11784" max="11785" width="16.625" style="129" customWidth="1"/>
    <col min="11786" max="11786" width="1.375" style="129" customWidth="1"/>
    <col min="11787" max="11787" width="4.75" style="129" customWidth="1"/>
    <col min="11788" max="11788" width="10.625" style="129" customWidth="1"/>
    <col min="11789" max="11789" width="24.5" style="129" customWidth="1"/>
    <col min="11790" max="11790" width="15.75" style="129" customWidth="1"/>
    <col min="11791" max="11791" width="1" style="129" customWidth="1"/>
    <col min="11792" max="12032" width="9" style="129"/>
    <col min="12033" max="12033" width="2.625" style="129" customWidth="1"/>
    <col min="12034" max="12038" width="16.625" style="129" customWidth="1"/>
    <col min="12039" max="12039" width="1.625" style="129" customWidth="1"/>
    <col min="12040" max="12041" width="16.625" style="129" customWidth="1"/>
    <col min="12042" max="12042" width="1.375" style="129" customWidth="1"/>
    <col min="12043" max="12043" width="4.75" style="129" customWidth="1"/>
    <col min="12044" max="12044" width="10.625" style="129" customWidth="1"/>
    <col min="12045" max="12045" width="24.5" style="129" customWidth="1"/>
    <col min="12046" max="12046" width="15.75" style="129" customWidth="1"/>
    <col min="12047" max="12047" width="1" style="129" customWidth="1"/>
    <col min="12048" max="12288" width="9" style="129"/>
    <col min="12289" max="12289" width="2.625" style="129" customWidth="1"/>
    <col min="12290" max="12294" width="16.625" style="129" customWidth="1"/>
    <col min="12295" max="12295" width="1.625" style="129" customWidth="1"/>
    <col min="12296" max="12297" width="16.625" style="129" customWidth="1"/>
    <col min="12298" max="12298" width="1.375" style="129" customWidth="1"/>
    <col min="12299" max="12299" width="4.75" style="129" customWidth="1"/>
    <col min="12300" max="12300" width="10.625" style="129" customWidth="1"/>
    <col min="12301" max="12301" width="24.5" style="129" customWidth="1"/>
    <col min="12302" max="12302" width="15.75" style="129" customWidth="1"/>
    <col min="12303" max="12303" width="1" style="129" customWidth="1"/>
    <col min="12304" max="12544" width="9" style="129"/>
    <col min="12545" max="12545" width="2.625" style="129" customWidth="1"/>
    <col min="12546" max="12550" width="16.625" style="129" customWidth="1"/>
    <col min="12551" max="12551" width="1.625" style="129" customWidth="1"/>
    <col min="12552" max="12553" width="16.625" style="129" customWidth="1"/>
    <col min="12554" max="12554" width="1.375" style="129" customWidth="1"/>
    <col min="12555" max="12555" width="4.75" style="129" customWidth="1"/>
    <col min="12556" max="12556" width="10.625" style="129" customWidth="1"/>
    <col min="12557" max="12557" width="24.5" style="129" customWidth="1"/>
    <col min="12558" max="12558" width="15.75" style="129" customWidth="1"/>
    <col min="12559" max="12559" width="1" style="129" customWidth="1"/>
    <col min="12560" max="12800" width="9" style="129"/>
    <col min="12801" max="12801" width="2.625" style="129" customWidth="1"/>
    <col min="12802" max="12806" width="16.625" style="129" customWidth="1"/>
    <col min="12807" max="12807" width="1.625" style="129" customWidth="1"/>
    <col min="12808" max="12809" width="16.625" style="129" customWidth="1"/>
    <col min="12810" max="12810" width="1.375" style="129" customWidth="1"/>
    <col min="12811" max="12811" width="4.75" style="129" customWidth="1"/>
    <col min="12812" max="12812" width="10.625" style="129" customWidth="1"/>
    <col min="12813" max="12813" width="24.5" style="129" customWidth="1"/>
    <col min="12814" max="12814" width="15.75" style="129" customWidth="1"/>
    <col min="12815" max="12815" width="1" style="129" customWidth="1"/>
    <col min="12816" max="13056" width="9" style="129"/>
    <col min="13057" max="13057" width="2.625" style="129" customWidth="1"/>
    <col min="13058" max="13062" width="16.625" style="129" customWidth="1"/>
    <col min="13063" max="13063" width="1.625" style="129" customWidth="1"/>
    <col min="13064" max="13065" width="16.625" style="129" customWidth="1"/>
    <col min="13066" max="13066" width="1.375" style="129" customWidth="1"/>
    <col min="13067" max="13067" width="4.75" style="129" customWidth="1"/>
    <col min="13068" max="13068" width="10.625" style="129" customWidth="1"/>
    <col min="13069" max="13069" width="24.5" style="129" customWidth="1"/>
    <col min="13070" max="13070" width="15.75" style="129" customWidth="1"/>
    <col min="13071" max="13071" width="1" style="129" customWidth="1"/>
    <col min="13072" max="13312" width="9" style="129"/>
    <col min="13313" max="13313" width="2.625" style="129" customWidth="1"/>
    <col min="13314" max="13318" width="16.625" style="129" customWidth="1"/>
    <col min="13319" max="13319" width="1.625" style="129" customWidth="1"/>
    <col min="13320" max="13321" width="16.625" style="129" customWidth="1"/>
    <col min="13322" max="13322" width="1.375" style="129" customWidth="1"/>
    <col min="13323" max="13323" width="4.75" style="129" customWidth="1"/>
    <col min="13324" max="13324" width="10.625" style="129" customWidth="1"/>
    <col min="13325" max="13325" width="24.5" style="129" customWidth="1"/>
    <col min="13326" max="13326" width="15.75" style="129" customWidth="1"/>
    <col min="13327" max="13327" width="1" style="129" customWidth="1"/>
    <col min="13328" max="13568" width="9" style="129"/>
    <col min="13569" max="13569" width="2.625" style="129" customWidth="1"/>
    <col min="13570" max="13574" width="16.625" style="129" customWidth="1"/>
    <col min="13575" max="13575" width="1.625" style="129" customWidth="1"/>
    <col min="13576" max="13577" width="16.625" style="129" customWidth="1"/>
    <col min="13578" max="13578" width="1.375" style="129" customWidth="1"/>
    <col min="13579" max="13579" width="4.75" style="129" customWidth="1"/>
    <col min="13580" max="13580" width="10.625" style="129" customWidth="1"/>
    <col min="13581" max="13581" width="24.5" style="129" customWidth="1"/>
    <col min="13582" max="13582" width="15.75" style="129" customWidth="1"/>
    <col min="13583" max="13583" width="1" style="129" customWidth="1"/>
    <col min="13584" max="13824" width="9" style="129"/>
    <col min="13825" max="13825" width="2.625" style="129" customWidth="1"/>
    <col min="13826" max="13830" width="16.625" style="129" customWidth="1"/>
    <col min="13831" max="13831" width="1.625" style="129" customWidth="1"/>
    <col min="13832" max="13833" width="16.625" style="129" customWidth="1"/>
    <col min="13834" max="13834" width="1.375" style="129" customWidth="1"/>
    <col min="13835" max="13835" width="4.75" style="129" customWidth="1"/>
    <col min="13836" max="13836" width="10.625" style="129" customWidth="1"/>
    <col min="13837" max="13837" width="24.5" style="129" customWidth="1"/>
    <col min="13838" max="13838" width="15.75" style="129" customWidth="1"/>
    <col min="13839" max="13839" width="1" style="129" customWidth="1"/>
    <col min="13840" max="14080" width="9" style="129"/>
    <col min="14081" max="14081" width="2.625" style="129" customWidth="1"/>
    <col min="14082" max="14086" width="16.625" style="129" customWidth="1"/>
    <col min="14087" max="14087" width="1.625" style="129" customWidth="1"/>
    <col min="14088" max="14089" width="16.625" style="129" customWidth="1"/>
    <col min="14090" max="14090" width="1.375" style="129" customWidth="1"/>
    <col min="14091" max="14091" width="4.75" style="129" customWidth="1"/>
    <col min="14092" max="14092" width="10.625" style="129" customWidth="1"/>
    <col min="14093" max="14093" width="24.5" style="129" customWidth="1"/>
    <col min="14094" max="14094" width="15.75" style="129" customWidth="1"/>
    <col min="14095" max="14095" width="1" style="129" customWidth="1"/>
    <col min="14096" max="14336" width="9" style="129"/>
    <col min="14337" max="14337" width="2.625" style="129" customWidth="1"/>
    <col min="14338" max="14342" width="16.625" style="129" customWidth="1"/>
    <col min="14343" max="14343" width="1.625" style="129" customWidth="1"/>
    <col min="14344" max="14345" width="16.625" style="129" customWidth="1"/>
    <col min="14346" max="14346" width="1.375" style="129" customWidth="1"/>
    <col min="14347" max="14347" width="4.75" style="129" customWidth="1"/>
    <col min="14348" max="14348" width="10.625" style="129" customWidth="1"/>
    <col min="14349" max="14349" width="24.5" style="129" customWidth="1"/>
    <col min="14350" max="14350" width="15.75" style="129" customWidth="1"/>
    <col min="14351" max="14351" width="1" style="129" customWidth="1"/>
    <col min="14352" max="14592" width="9" style="129"/>
    <col min="14593" max="14593" width="2.625" style="129" customWidth="1"/>
    <col min="14594" max="14598" width="16.625" style="129" customWidth="1"/>
    <col min="14599" max="14599" width="1.625" style="129" customWidth="1"/>
    <col min="14600" max="14601" width="16.625" style="129" customWidth="1"/>
    <col min="14602" max="14602" width="1.375" style="129" customWidth="1"/>
    <col min="14603" max="14603" width="4.75" style="129" customWidth="1"/>
    <col min="14604" max="14604" width="10.625" style="129" customWidth="1"/>
    <col min="14605" max="14605" width="24.5" style="129" customWidth="1"/>
    <col min="14606" max="14606" width="15.75" style="129" customWidth="1"/>
    <col min="14607" max="14607" width="1" style="129" customWidth="1"/>
    <col min="14608" max="14848" width="9" style="129"/>
    <col min="14849" max="14849" width="2.625" style="129" customWidth="1"/>
    <col min="14850" max="14854" width="16.625" style="129" customWidth="1"/>
    <col min="14855" max="14855" width="1.625" style="129" customWidth="1"/>
    <col min="14856" max="14857" width="16.625" style="129" customWidth="1"/>
    <col min="14858" max="14858" width="1.375" style="129" customWidth="1"/>
    <col min="14859" max="14859" width="4.75" style="129" customWidth="1"/>
    <col min="14860" max="14860" width="10.625" style="129" customWidth="1"/>
    <col min="14861" max="14861" width="24.5" style="129" customWidth="1"/>
    <col min="14862" max="14862" width="15.75" style="129" customWidth="1"/>
    <col min="14863" max="14863" width="1" style="129" customWidth="1"/>
    <col min="14864" max="15104" width="9" style="129"/>
    <col min="15105" max="15105" width="2.625" style="129" customWidth="1"/>
    <col min="15106" max="15110" width="16.625" style="129" customWidth="1"/>
    <col min="15111" max="15111" width="1.625" style="129" customWidth="1"/>
    <col min="15112" max="15113" width="16.625" style="129" customWidth="1"/>
    <col min="15114" max="15114" width="1.375" style="129" customWidth="1"/>
    <col min="15115" max="15115" width="4.75" style="129" customWidth="1"/>
    <col min="15116" max="15116" width="10.625" style="129" customWidth="1"/>
    <col min="15117" max="15117" width="24.5" style="129" customWidth="1"/>
    <col min="15118" max="15118" width="15.75" style="129" customWidth="1"/>
    <col min="15119" max="15119" width="1" style="129" customWidth="1"/>
    <col min="15120" max="15360" width="9" style="129"/>
    <col min="15361" max="15361" width="2.625" style="129" customWidth="1"/>
    <col min="15362" max="15366" width="16.625" style="129" customWidth="1"/>
    <col min="15367" max="15367" width="1.625" style="129" customWidth="1"/>
    <col min="15368" max="15369" width="16.625" style="129" customWidth="1"/>
    <col min="15370" max="15370" width="1.375" style="129" customWidth="1"/>
    <col min="15371" max="15371" width="4.75" style="129" customWidth="1"/>
    <col min="15372" max="15372" width="10.625" style="129" customWidth="1"/>
    <col min="15373" max="15373" width="24.5" style="129" customWidth="1"/>
    <col min="15374" max="15374" width="15.75" style="129" customWidth="1"/>
    <col min="15375" max="15375" width="1" style="129" customWidth="1"/>
    <col min="15376" max="15616" width="9" style="129"/>
    <col min="15617" max="15617" width="2.625" style="129" customWidth="1"/>
    <col min="15618" max="15622" width="16.625" style="129" customWidth="1"/>
    <col min="15623" max="15623" width="1.625" style="129" customWidth="1"/>
    <col min="15624" max="15625" width="16.625" style="129" customWidth="1"/>
    <col min="15626" max="15626" width="1.375" style="129" customWidth="1"/>
    <col min="15627" max="15627" width="4.75" style="129" customWidth="1"/>
    <col min="15628" max="15628" width="10.625" style="129" customWidth="1"/>
    <col min="15629" max="15629" width="24.5" style="129" customWidth="1"/>
    <col min="15630" max="15630" width="15.75" style="129" customWidth="1"/>
    <col min="15631" max="15631" width="1" style="129" customWidth="1"/>
    <col min="15632" max="15872" width="9" style="129"/>
    <col min="15873" max="15873" width="2.625" style="129" customWidth="1"/>
    <col min="15874" max="15878" width="16.625" style="129" customWidth="1"/>
    <col min="15879" max="15879" width="1.625" style="129" customWidth="1"/>
    <col min="15880" max="15881" width="16.625" style="129" customWidth="1"/>
    <col min="15882" max="15882" width="1.375" style="129" customWidth="1"/>
    <col min="15883" max="15883" width="4.75" style="129" customWidth="1"/>
    <col min="15884" max="15884" width="10.625" style="129" customWidth="1"/>
    <col min="15885" max="15885" width="24.5" style="129" customWidth="1"/>
    <col min="15886" max="15886" width="15.75" style="129" customWidth="1"/>
    <col min="15887" max="15887" width="1" style="129" customWidth="1"/>
    <col min="15888" max="16128" width="9" style="129"/>
    <col min="16129" max="16129" width="2.625" style="129" customWidth="1"/>
    <col min="16130" max="16134" width="16.625" style="129" customWidth="1"/>
    <col min="16135" max="16135" width="1.625" style="129" customWidth="1"/>
    <col min="16136" max="16137" width="16.625" style="129" customWidth="1"/>
    <col min="16138" max="16138" width="1.375" style="129" customWidth="1"/>
    <col min="16139" max="16139" width="4.75" style="129" customWidth="1"/>
    <col min="16140" max="16140" width="10.625" style="129" customWidth="1"/>
    <col min="16141" max="16141" width="24.5" style="129" customWidth="1"/>
    <col min="16142" max="16142" width="15.75" style="129" customWidth="1"/>
    <col min="16143" max="16143" width="1" style="129" customWidth="1"/>
    <col min="16144" max="16384" width="9" style="129"/>
  </cols>
  <sheetData>
    <row r="1" spans="2:14" ht="15.75">
      <c r="B1" s="127"/>
      <c r="C1" s="127"/>
      <c r="D1" s="296" t="s">
        <v>361</v>
      </c>
      <c r="E1" s="296"/>
      <c r="F1" s="296"/>
      <c r="G1" s="186"/>
      <c r="H1" s="186"/>
      <c r="I1" s="233" t="s">
        <v>304</v>
      </c>
      <c r="J1" s="186"/>
    </row>
    <row r="2" spans="2:14">
      <c r="B2" s="130" t="s">
        <v>43</v>
      </c>
      <c r="C2" s="130" t="s">
        <v>44</v>
      </c>
      <c r="D2" s="130"/>
      <c r="E2" s="130"/>
      <c r="F2" s="130" t="s">
        <v>45</v>
      </c>
      <c r="G2" s="131"/>
      <c r="H2" s="130" t="s">
        <v>305</v>
      </c>
      <c r="I2" s="130" t="s">
        <v>46</v>
      </c>
      <c r="J2" s="131"/>
    </row>
    <row r="3" spans="2:14" s="128" customFormat="1" ht="15">
      <c r="B3" s="132"/>
      <c r="C3" s="132"/>
      <c r="D3" s="132"/>
      <c r="E3" s="132"/>
      <c r="F3" s="133"/>
      <c r="G3" s="134"/>
      <c r="H3" s="132"/>
      <c r="I3" s="132"/>
      <c r="J3" s="134"/>
    </row>
    <row r="4" spans="2:14" ht="45" customHeight="1">
      <c r="B4" s="135"/>
      <c r="C4" s="135"/>
      <c r="D4" s="136"/>
      <c r="E4" s="135"/>
      <c r="F4" s="135"/>
      <c r="G4" s="137"/>
      <c r="H4" s="135"/>
      <c r="I4" s="135"/>
      <c r="J4" s="137"/>
    </row>
    <row r="5" spans="2:14" s="128" customFormat="1">
      <c r="B5" s="138"/>
      <c r="C5" s="138"/>
      <c r="D5" s="138"/>
      <c r="E5" s="138"/>
      <c r="F5" s="138"/>
      <c r="G5" s="139"/>
      <c r="H5" s="138"/>
      <c r="I5" s="138"/>
      <c r="J5" s="139"/>
    </row>
    <row r="8" spans="2:14">
      <c r="K8" s="140" t="s">
        <v>306</v>
      </c>
      <c r="L8" s="141"/>
      <c r="M8" s="142"/>
      <c r="N8" s="141"/>
    </row>
    <row r="9" spans="2:14">
      <c r="K9" s="143" t="s">
        <v>307</v>
      </c>
      <c r="L9" s="144"/>
      <c r="M9" s="145"/>
      <c r="N9" s="144"/>
    </row>
    <row r="10" spans="2:14">
      <c r="K10" s="146" t="s">
        <v>47</v>
      </c>
      <c r="L10" s="147"/>
      <c r="M10" s="148"/>
      <c r="N10" s="147"/>
    </row>
    <row r="11" spans="2:14" s="128" customFormat="1">
      <c r="K11" s="149" t="s">
        <v>308</v>
      </c>
      <c r="L11" s="150" t="s">
        <v>48</v>
      </c>
      <c r="M11" s="151" t="s">
        <v>49</v>
      </c>
      <c r="N11" s="150" t="s">
        <v>309</v>
      </c>
    </row>
  </sheetData>
  <mergeCells count="1">
    <mergeCell ref="D1:F1"/>
  </mergeCells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73, IEC62552.2015 COVER</vt:lpstr>
      <vt:lpstr>73, IEC62552.2015</vt:lpstr>
      <vt:lpstr>73, IEC62552.2007 COVER</vt:lpstr>
      <vt:lpstr>73, IEC62552 2007</vt:lpstr>
      <vt:lpstr>SIGN</vt:lpstr>
      <vt:lpstr>'73, IEC62552 2007'!Print_Area</vt:lpstr>
      <vt:lpstr>'73, IEC62552.2007 COVER'!Print_Area</vt:lpstr>
      <vt:lpstr>'73, IEC62552.2015'!Print_Area</vt:lpstr>
      <vt:lpstr>'73, IEC62552.2015 COVER'!Print_Area</vt:lpstr>
    </vt:vector>
  </TitlesOfParts>
  <Company>シャープ株式会社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統合ＯＡ</dc:creator>
  <cp:lastModifiedBy>浦久保稔/技師</cp:lastModifiedBy>
  <cp:lastPrinted>2021-04-22T05:17:36Z</cp:lastPrinted>
  <dcterms:created xsi:type="dcterms:W3CDTF">1999-11-18T08:03:33Z</dcterms:created>
  <dcterms:modified xsi:type="dcterms:W3CDTF">2021-04-22T06:34:49Z</dcterms:modified>
</cp:coreProperties>
</file>