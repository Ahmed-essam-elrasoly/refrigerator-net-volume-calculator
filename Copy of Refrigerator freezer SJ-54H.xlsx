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8_{CD18AB0C-88BC-4CCF-93C0-F03232C75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SIZE" sheetId="2" r:id="rId2"/>
    <sheet name="熱負荷分布" sheetId="6" r:id="rId3"/>
  </sheets>
  <definedNames>
    <definedName name="_xlnm.Print_Area" localSheetId="1">SIZE!$A$1:$L$55</definedName>
    <definedName name="solver_adj" localSheetId="0" hidden="1">MAIN!$E$37,MAIN!$E$38</definedName>
    <definedName name="solver_cvg" localSheetId="0" hidden="1">0.001</definedName>
    <definedName name="solver_drv" localSheetId="0" hidden="1">2</definedName>
    <definedName name="solver_est" localSheetId="0" hidden="1">1</definedName>
    <definedName name="solver_itr" localSheetId="0" hidden="1">1000</definedName>
    <definedName name="solver_lhs1" localSheetId="0" hidden="1">MAIN!$E$44</definedName>
    <definedName name="solver_lin" localSheetId="0" hidden="1">2</definedName>
    <definedName name="solver_neg" localSheetId="0" hidden="1">2</definedName>
    <definedName name="solver_num" localSheetId="0" hidden="1">1</definedName>
    <definedName name="solver_nwt" localSheetId="0" hidden="1">1</definedName>
    <definedName name="solver_opt" localSheetId="0" hidden="1">MAIN!$E$43</definedName>
    <definedName name="solver_pre" localSheetId="0" hidden="1">0.00001</definedName>
    <definedName name="solver_rel1" localSheetId="0" hidden="1">1</definedName>
    <definedName name="solver_rhs1" localSheetId="0" hidden="1">0.0001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mp" localSheetId="0" hidden="1">0.0001</definedName>
    <definedName name="solver_tol" localSheetId="0" hidden="1">0.05</definedName>
    <definedName name="solver_typ" localSheetId="0" hidden="1">3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B31" i="1"/>
  <c r="H9" i="1"/>
  <c r="E32" i="1"/>
  <c r="E31" i="1" s="1"/>
  <c r="B45" i="1"/>
  <c r="B29" i="1" l="1"/>
  <c r="K17" i="1"/>
  <c r="J17" i="1"/>
  <c r="J15" i="1"/>
  <c r="J14" i="1"/>
  <c r="K23" i="1"/>
  <c r="H23" i="1" s="1"/>
  <c r="K10" i="1"/>
  <c r="H14" i="1" l="1"/>
  <c r="J18" i="1"/>
  <c r="J16" i="1"/>
  <c r="B11" i="1"/>
  <c r="E19" i="1" s="1"/>
  <c r="K15" i="1" l="1"/>
  <c r="K14" i="1"/>
  <c r="K18" i="1" l="1"/>
  <c r="K16" i="1"/>
  <c r="O44" i="1"/>
  <c r="O24" i="1"/>
  <c r="H18" i="1"/>
  <c r="H17" i="1"/>
  <c r="H16" i="1"/>
  <c r="H15" i="1"/>
  <c r="H10" i="1" s="1"/>
  <c r="I3" i="1"/>
  <c r="K38" i="1" l="1"/>
  <c r="N39" i="1" l="1"/>
  <c r="J39" i="1" s="1"/>
  <c r="H51" i="1" s="1"/>
  <c r="N38" i="1"/>
  <c r="J38" i="1" s="1"/>
  <c r="H38" i="1" l="1"/>
  <c r="H50" i="1"/>
  <c r="I50" i="1"/>
  <c r="I51" i="1"/>
  <c r="H39" i="1"/>
  <c r="B7" i="1"/>
  <c r="O43" i="1" l="1"/>
  <c r="O47" i="1" s="1"/>
  <c r="O22" i="1"/>
  <c r="N27" i="1" l="1"/>
  <c r="N46" i="1" s="1"/>
  <c r="O27" i="1"/>
  <c r="O46" i="1" s="1"/>
  <c r="N47" i="1"/>
  <c r="H5" i="1"/>
  <c r="H45" i="1" l="1"/>
  <c r="H27" i="1"/>
  <c r="H46" i="1"/>
  <c r="E28" i="2" l="1"/>
  <c r="F11" i="2"/>
  <c r="H36" i="1" l="1"/>
  <c r="B8" i="2"/>
  <c r="E45" i="2" s="1"/>
  <c r="E51" i="2" s="1"/>
  <c r="F21" i="2"/>
  <c r="F20" i="2"/>
  <c r="F19" i="2"/>
  <c r="H19" i="1"/>
  <c r="H21" i="1" s="1"/>
  <c r="F8" i="2"/>
  <c r="E27" i="2"/>
  <c r="F1" i="2"/>
  <c r="J1" i="2"/>
  <c r="I26" i="2" s="1"/>
  <c r="H4" i="2"/>
  <c r="J22" i="2" s="1"/>
  <c r="H2" i="2"/>
  <c r="I16" i="2" s="1"/>
  <c r="H1" i="2"/>
  <c r="J15" i="2" s="1"/>
  <c r="A2" i="2"/>
  <c r="B28" i="1"/>
  <c r="B30" i="1" s="1"/>
  <c r="E23" i="1"/>
  <c r="E9" i="1"/>
  <c r="B34" i="2"/>
  <c r="F15" i="2"/>
  <c r="G23" i="2"/>
  <c r="F7" i="2"/>
  <c r="F10" i="2"/>
  <c r="G12" i="2"/>
  <c r="F13" i="2"/>
  <c r="F52" i="2"/>
  <c r="F46" i="2"/>
  <c r="A1" i="2"/>
  <c r="F14" i="2"/>
  <c r="F12" i="2"/>
  <c r="H12" i="2" s="1"/>
  <c r="E44" i="2"/>
  <c r="E50" i="2" s="1"/>
  <c r="F26" i="2"/>
  <c r="J21" i="2" l="1"/>
  <c r="J11" i="2"/>
  <c r="J7" i="2"/>
  <c r="I8" i="2"/>
  <c r="J23" i="2"/>
  <c r="J12" i="2"/>
  <c r="I7" i="2"/>
  <c r="I17" i="2"/>
  <c r="I23" i="2"/>
  <c r="J10" i="2"/>
  <c r="I18" i="2"/>
  <c r="F9" i="2"/>
  <c r="F22" i="2"/>
  <c r="F16" i="2"/>
  <c r="F17" i="2" s="1"/>
  <c r="F18" i="2"/>
  <c r="I20" i="2"/>
  <c r="I21" i="2"/>
  <c r="I15" i="2"/>
  <c r="I19" i="2"/>
  <c r="I22" i="2"/>
  <c r="G22" i="2" s="1"/>
  <c r="F24" i="2"/>
  <c r="E24" i="2" s="1"/>
  <c r="J2" i="2"/>
  <c r="J9" i="2" s="1"/>
  <c r="H35" i="1"/>
  <c r="E14" i="2"/>
  <c r="H37" i="1"/>
  <c r="J3" i="2"/>
  <c r="J26" i="2" s="1"/>
  <c r="G26" i="2" s="1"/>
  <c r="H26" i="2" s="1"/>
  <c r="E26" i="2" s="1"/>
  <c r="E34" i="2" s="1"/>
  <c r="E7" i="1" s="1"/>
  <c r="E13" i="1" s="1"/>
  <c r="H3" i="2"/>
  <c r="E13" i="2" s="1"/>
  <c r="K28" i="1"/>
  <c r="O25" i="1" s="1"/>
  <c r="H24" i="1"/>
  <c r="H22" i="1"/>
  <c r="B33" i="1"/>
  <c r="F23" i="2"/>
  <c r="H23" i="2" s="1"/>
  <c r="I9" i="2"/>
  <c r="I10" i="2"/>
  <c r="I12" i="2"/>
  <c r="I11" i="2"/>
  <c r="F3" i="2"/>
  <c r="J18" i="2" s="1"/>
  <c r="J20" i="2" s="1"/>
  <c r="E52" i="2"/>
  <c r="E46" i="2"/>
  <c r="G21" i="2" l="1"/>
  <c r="H21" i="2" s="1"/>
  <c r="E21" i="2" s="1"/>
  <c r="G7" i="2"/>
  <c r="H7" i="2" s="1"/>
  <c r="E7" i="2" s="1"/>
  <c r="G15" i="2"/>
  <c r="H15" i="2" s="1"/>
  <c r="E15" i="2" s="1"/>
  <c r="G10" i="2"/>
  <c r="H10" i="2" s="1"/>
  <c r="E10" i="2" s="1"/>
  <c r="G11" i="2"/>
  <c r="H11" i="2" s="1"/>
  <c r="E11" i="2" s="1"/>
  <c r="H22" i="2"/>
  <c r="E22" i="2" s="1"/>
  <c r="H40" i="1"/>
  <c r="E18" i="1"/>
  <c r="G18" i="2"/>
  <c r="N30" i="1"/>
  <c r="O30" i="1"/>
  <c r="E23" i="2"/>
  <c r="E12" i="2"/>
  <c r="G20" i="2"/>
  <c r="H20" i="2" s="1"/>
  <c r="E20" i="2" s="1"/>
  <c r="J8" i="2"/>
  <c r="G8" i="2" s="1"/>
  <c r="H8" i="2" s="1"/>
  <c r="E8" i="2" s="1"/>
  <c r="G9" i="2"/>
  <c r="H9" i="2" s="1"/>
  <c r="E9" i="2" s="1"/>
  <c r="J17" i="2"/>
  <c r="G17" i="2" s="1"/>
  <c r="H17" i="2" s="1"/>
  <c r="E17" i="2" s="1"/>
  <c r="J16" i="2"/>
  <c r="G16" i="2" s="1"/>
  <c r="H16" i="2" s="1"/>
  <c r="E16" i="2" s="1"/>
  <c r="J4" i="2"/>
  <c r="J19" i="2"/>
  <c r="K29" i="1" l="1"/>
  <c r="H18" i="2"/>
  <c r="E18" i="2" s="1"/>
  <c r="E32" i="2"/>
  <c r="E5" i="1" s="1"/>
  <c r="G19" i="2"/>
  <c r="H19" i="2" s="1"/>
  <c r="E19" i="2" s="1"/>
  <c r="E33" i="2" l="1"/>
  <c r="E35" i="2" s="1"/>
  <c r="E6" i="1" l="1"/>
  <c r="E14" i="1" s="1"/>
  <c r="E17" i="1" l="1"/>
  <c r="E16" i="1"/>
  <c r="E43" i="1" s="1"/>
  <c r="E10" i="1"/>
  <c r="E21" i="1" s="1"/>
  <c r="E25" i="1" s="1"/>
  <c r="F14" i="1"/>
  <c r="E15" i="1"/>
  <c r="E20" i="1" l="1"/>
  <c r="E22" i="1"/>
  <c r="E24" i="1" s="1"/>
  <c r="K32" i="1" s="1"/>
  <c r="E26" i="1" l="1"/>
  <c r="E27" i="1" s="1"/>
  <c r="E28" i="1" s="1"/>
  <c r="O23" i="1"/>
  <c r="N28" i="1" l="1"/>
  <c r="O28" i="1"/>
  <c r="E29" i="1"/>
  <c r="O31" i="1" l="1"/>
  <c r="O29" i="1"/>
  <c r="N31" i="1"/>
  <c r="N29" i="1"/>
  <c r="H28" i="1"/>
  <c r="H30" i="1" s="1"/>
  <c r="H29" i="1" l="1"/>
  <c r="H31" i="1" s="1"/>
  <c r="K30" i="1"/>
  <c r="H43" i="1" l="1"/>
  <c r="E45" i="1" s="1"/>
  <c r="K31" i="1"/>
  <c r="E30" i="1" s="1"/>
  <c r="E44" i="1" s="1"/>
</calcChain>
</file>

<file path=xl/sharedStrings.xml><?xml version="1.0" encoding="utf-8"?>
<sst xmlns="http://schemas.openxmlformats.org/spreadsheetml/2006/main" count="311" uniqueCount="278">
  <si>
    <t>◇  ＴＥＭＰＡＲＡＴＵＲＥ  ◇</t>
  </si>
  <si>
    <t>(℃)</t>
  </si>
  <si>
    <t xml:space="preserve"> </t>
  </si>
  <si>
    <t>QF     TOTAL(kcal/h)  (inlet)</t>
  </si>
  <si>
    <t>COMPRESSOR NAME</t>
  </si>
  <si>
    <t>QR     TOTAL(kcal/h)  (inlet)</t>
  </si>
  <si>
    <t>QEVOUT TOTAL(kcal/h)  (inlet)</t>
  </si>
  <si>
    <t>heater          (kcal/h)</t>
  </si>
  <si>
    <t>N(rpm)</t>
  </si>
  <si>
    <t>heater          (W)</t>
  </si>
  <si>
    <t>Vc(cc)</t>
  </si>
  <si>
    <t>◇  Ｏ Ｔ Ｈ Ｅ Ｒ Ｓ  ◇</t>
  </si>
  <si>
    <t>QEV  (=QF+QR+QEVOUT)</t>
  </si>
  <si>
    <t>FAN TOTAL                (m3/h)</t>
  </si>
  <si>
    <t>T IN</t>
  </si>
  <si>
    <t>FAN INPUT                (W)</t>
  </si>
  <si>
    <t>Cp(Air 0℃)              (kcal/kg℃)</t>
  </si>
  <si>
    <t>V(比体積）</t>
  </si>
  <si>
    <t>LOG. MEAN TEMP. DIFF. OF EVA.  (℃)</t>
  </si>
  <si>
    <t>G(循環流量)</t>
  </si>
  <si>
    <t xml:space="preserve">EV TEMPRATURE                  (℃)          </t>
  </si>
  <si>
    <t>COP</t>
  </si>
  <si>
    <t>COMP INPUT</t>
  </si>
  <si>
    <t>SURFACE OF EVAPORATOR    (m2)</t>
  </si>
  <si>
    <t>QCOMP</t>
  </si>
  <si>
    <t>◇  ＣＯＮＤＩＴＩＯＮ  ◇</t>
  </si>
  <si>
    <t>◇  Ｓ  Ｉ  Ｚ  Ｅ  ◇</t>
  </si>
  <si>
    <t>(mm)</t>
  </si>
  <si>
    <t>◇  BASIC  SIZE  ◇</t>
  </si>
  <si>
    <t>POSITION</t>
  </si>
  <si>
    <t>Q(kcal/h)</t>
  </si>
  <si>
    <t>S(m2) or L(m)</t>
  </si>
  <si>
    <t>K</t>
  </si>
  <si>
    <t>B</t>
  </si>
  <si>
    <t>INSIDE TEMP</t>
  </si>
  <si>
    <t>OUTSIDE TEMP</t>
  </si>
  <si>
    <t>F TOP</t>
  </si>
  <si>
    <t>F LEFT</t>
  </si>
  <si>
    <t>F RIGHT</t>
  </si>
  <si>
    <t>F BOTTOM</t>
  </si>
  <si>
    <t>F DOOR</t>
  </si>
  <si>
    <t>*</t>
  </si>
  <si>
    <t>R TOP</t>
  </si>
  <si>
    <t>R LEFT</t>
  </si>
  <si>
    <t>R RIGHT</t>
  </si>
  <si>
    <t>◇ THICKNESS OF WALL ◇</t>
  </si>
  <si>
    <t>R DOOR</t>
  </si>
  <si>
    <t>R BACK</t>
  </si>
  <si>
    <t>R PACKIN</t>
  </si>
  <si>
    <t>F BOTTOM ※</t>
  </si>
  <si>
    <t>EVA BACK</t>
  </si>
  <si>
    <t>R TOP ※</t>
  </si>
  <si>
    <t>DEF. HEATER LOAD</t>
  </si>
  <si>
    <t>(kcal/mh℃)</t>
  </si>
  <si>
    <t>URETANE</t>
  </si>
  <si>
    <t>PAKKIN</t>
  </si>
  <si>
    <t>(kcal/m2h℃)</t>
  </si>
  <si>
    <t>OUTSIDE</t>
  </si>
  <si>
    <t>INSIDE</t>
  </si>
  <si>
    <t>SUB CAL. X</t>
    <phoneticPr fontId="12"/>
  </si>
  <si>
    <t>A=X-0.00011*T          X=</t>
    <phoneticPr fontId="12"/>
  </si>
  <si>
    <t>◇HEAT LOAD ◇</t>
    <phoneticPr fontId="12"/>
  </si>
  <si>
    <t>◇  CALCULATION ◇</t>
  </si>
  <si>
    <t>Ｒ Front</t>
    <phoneticPr fontId="12"/>
  </si>
  <si>
    <t>ＦＲ Partition</t>
    <phoneticPr fontId="12"/>
  </si>
  <si>
    <t>Ｆ Front</t>
    <phoneticPr fontId="12"/>
  </si>
  <si>
    <t>Sid  Condenser</t>
    <phoneticPr fontId="12"/>
  </si>
  <si>
    <t>Back Condenser</t>
    <phoneticPr fontId="12"/>
  </si>
  <si>
    <t>G(kg/h)</t>
    <phoneticPr fontId="12"/>
  </si>
  <si>
    <t>Volume Efficiency</t>
    <phoneticPr fontId="12"/>
  </si>
  <si>
    <t>Rated input(Ｗ）</t>
    <phoneticPr fontId="12"/>
  </si>
  <si>
    <t>Outer Cab. Temp Rise</t>
    <phoneticPr fontId="12"/>
  </si>
  <si>
    <t>◇ Radiate Heat ◇</t>
    <phoneticPr fontId="12"/>
  </si>
  <si>
    <t>◇  Condenser Heat Exchange   ◇</t>
    <phoneticPr fontId="12"/>
  </si>
  <si>
    <t>◇  Compressor Data  ◇</t>
    <phoneticPr fontId="12"/>
  </si>
  <si>
    <t>TIMER   Period          (hr)</t>
    <phoneticPr fontId="12"/>
  </si>
  <si>
    <t>◇  Heat Load  ◇</t>
    <phoneticPr fontId="12"/>
  </si>
  <si>
    <t>◇  Thermal Conductivity  ◇</t>
    <phoneticPr fontId="12"/>
  </si>
  <si>
    <t>FAN LOAD (FAN INPUT*0.86*Pr）</t>
    <phoneticPr fontId="12"/>
  </si>
  <si>
    <t>◇  Heat trancefer coefficent ◇</t>
    <phoneticPr fontId="12"/>
  </si>
  <si>
    <t>F DPCON2(F-Front)</t>
    <phoneticPr fontId="12"/>
  </si>
  <si>
    <t>F DPCON1(FR-Partition)</t>
    <phoneticPr fontId="12"/>
  </si>
  <si>
    <t xml:space="preserve">F PACKIN </t>
    <phoneticPr fontId="12"/>
  </si>
  <si>
    <t>R DPCON(R-Front)</t>
    <phoneticPr fontId="12"/>
  </si>
  <si>
    <t>Fin Surface  30*60mm/pc</t>
    <phoneticPr fontId="12"/>
  </si>
  <si>
    <t>Pipe Surface  φ8mm</t>
    <phoneticPr fontId="12"/>
  </si>
  <si>
    <t>220/240V 50Hz</t>
    <phoneticPr fontId="12"/>
  </si>
  <si>
    <t>VOLUME:</t>
    <phoneticPr fontId="12"/>
  </si>
  <si>
    <t xml:space="preserve">   Freezer Gross volume</t>
    <phoneticPr fontId="12"/>
  </si>
  <si>
    <t xml:space="preserve">   TOTAL</t>
    <phoneticPr fontId="12"/>
  </si>
  <si>
    <t>ISO VOLUME</t>
    <phoneticPr fontId="12"/>
  </si>
  <si>
    <t xml:space="preserve">   Freezer VOLUME</t>
    <phoneticPr fontId="12"/>
  </si>
  <si>
    <t xml:space="preserve">   Refrigerator</t>
    <phoneticPr fontId="12"/>
  </si>
  <si>
    <t xml:space="preserve">   TOTAL</t>
    <phoneticPr fontId="12"/>
  </si>
  <si>
    <t>TOTAL HIGHT         H</t>
    <phoneticPr fontId="12"/>
  </si>
  <si>
    <t>R HIGHT             Hr</t>
    <phoneticPr fontId="12"/>
  </si>
  <si>
    <t>F HIGHT             Hf</t>
    <phoneticPr fontId="12"/>
  </si>
  <si>
    <t>WIDTH               W</t>
    <phoneticPr fontId="12"/>
  </si>
  <si>
    <t>DEPTH               D</t>
    <phoneticPr fontId="12"/>
  </si>
  <si>
    <t>BOTTOM DEPTH       Db1</t>
    <phoneticPr fontId="12"/>
  </si>
  <si>
    <t>BOTTOM DEPTH       Db2</t>
    <phoneticPr fontId="12"/>
  </si>
  <si>
    <t>BOTOM HIGHT        Hb</t>
    <phoneticPr fontId="12"/>
  </si>
  <si>
    <t>◇  ＶＡＲＩＡＢＬＥ  ◇</t>
    <phoneticPr fontId="12"/>
  </si>
  <si>
    <t>定格ｺｰﾅｰ</t>
    <rPh sb="0" eb="2">
      <t>テイカク</t>
    </rPh>
    <phoneticPr fontId="12"/>
  </si>
  <si>
    <t>W</t>
    <phoneticPr fontId="12"/>
  </si>
  <si>
    <t>Pipe Diameter  φ mm</t>
  </si>
  <si>
    <t>How many defrost in a day   （Times/24h)</t>
    <phoneticPr fontId="12"/>
  </si>
  <si>
    <t>B=K*S</t>
    <phoneticPr fontId="12"/>
  </si>
  <si>
    <t>Qtotal  (=QF+QR+QEV)</t>
    <phoneticPr fontId="12"/>
  </si>
  <si>
    <t>QEV    TOTAL (kcal/h)  (inlet)</t>
    <phoneticPr fontId="12"/>
  </si>
  <si>
    <t>DENSITY(Air)      γ     (kg/m3)</t>
    <phoneticPr fontId="12"/>
  </si>
  <si>
    <t xml:space="preserve">Energy consumption kWh/24h </t>
    <phoneticPr fontId="12"/>
  </si>
  <si>
    <r>
      <t>EVA  Heat transfer α ( kcal/hm</t>
    </r>
    <r>
      <rPr>
        <vertAlign val="superscript"/>
        <sz val="9"/>
        <rFont val="ｺﾞｼｯｸ"/>
        <family val="3"/>
        <charset val="128"/>
      </rPr>
      <t>2</t>
    </r>
    <r>
      <rPr>
        <sz val="9"/>
        <rFont val="ｺﾞｼｯｸ"/>
        <family val="3"/>
        <charset val="128"/>
      </rPr>
      <t xml:space="preserve">℃) </t>
    </r>
  </si>
  <si>
    <t>TF=</t>
    <phoneticPr fontId="12"/>
  </si>
  <si>
    <t>TR=</t>
    <phoneticPr fontId="12"/>
  </si>
  <si>
    <t>TC=</t>
    <phoneticPr fontId="12"/>
  </si>
  <si>
    <t>T0=</t>
    <phoneticPr fontId="12"/>
  </si>
  <si>
    <t>T2=</t>
    <phoneticPr fontId="12"/>
  </si>
  <si>
    <t>F,R Cab</t>
    <phoneticPr fontId="12"/>
  </si>
  <si>
    <t>Back Cab</t>
    <phoneticPr fontId="12"/>
  </si>
  <si>
    <t>Cab. Temp.</t>
    <phoneticPr fontId="12"/>
  </si>
  <si>
    <t>Back cab</t>
    <phoneticPr fontId="12"/>
  </si>
  <si>
    <t>Cab Bottom</t>
    <phoneticPr fontId="12"/>
  </si>
  <si>
    <t>Cab Side</t>
    <phoneticPr fontId="12"/>
  </si>
  <si>
    <t>PR=</t>
    <phoneticPr fontId="12"/>
  </si>
  <si>
    <t>Packing position  L mm</t>
    <phoneticPr fontId="12"/>
  </si>
  <si>
    <t xml:space="preserve">               DOOR</t>
    <phoneticPr fontId="12"/>
  </si>
  <si>
    <t>Packing</t>
    <phoneticPr fontId="12"/>
  </si>
  <si>
    <t>PS FORM     λ</t>
    <phoneticPr fontId="12"/>
  </si>
  <si>
    <t xml:space="preserve">  Refrigeratorr Gross Volume</t>
    <phoneticPr fontId="12"/>
  </si>
  <si>
    <t>Comp temp</t>
    <phoneticPr fontId="12"/>
  </si>
  <si>
    <t>PWB Heat LOAD</t>
    <phoneticPr fontId="12"/>
  </si>
  <si>
    <t>Toatal fin quqntity</t>
    <phoneticPr fontId="12"/>
  </si>
  <si>
    <t>Fin Surface    m2</t>
    <phoneticPr fontId="12"/>
  </si>
  <si>
    <t>Side Plate surface</t>
    <phoneticPr fontId="12"/>
  </si>
  <si>
    <t>R BOTTOM　1</t>
    <phoneticPr fontId="12"/>
  </si>
  <si>
    <t>R BOTTOM　2</t>
  </si>
  <si>
    <t>R BOTTOM　3</t>
  </si>
  <si>
    <t>R BOTTOM 1</t>
    <phoneticPr fontId="12"/>
  </si>
  <si>
    <t>R BOTTOM 2</t>
  </si>
  <si>
    <t>R BOTTOM 3</t>
  </si>
  <si>
    <t>KWH/MONTH</t>
    <phoneticPr fontId="12"/>
  </si>
  <si>
    <t>Door gap of F&amp;R door</t>
    <phoneticPr fontId="12"/>
  </si>
  <si>
    <t>kcal/kg</t>
    <phoneticPr fontId="12"/>
  </si>
  <si>
    <t>Discharge</t>
    <phoneticPr fontId="12"/>
  </si>
  <si>
    <t>enthalpy</t>
    <phoneticPr fontId="12"/>
  </si>
  <si>
    <t xml:space="preserve">  Temp</t>
    <phoneticPr fontId="12"/>
  </si>
  <si>
    <t>COND. IN</t>
    <phoneticPr fontId="12"/>
  </si>
  <si>
    <t>COND. OUT</t>
    <phoneticPr fontId="12"/>
  </si>
  <si>
    <t>R-600a</t>
    <phoneticPr fontId="12"/>
  </si>
  <si>
    <t>COMP NAME</t>
    <phoneticPr fontId="12"/>
  </si>
  <si>
    <t>Vc=</t>
    <phoneticPr fontId="12"/>
  </si>
  <si>
    <t>A=</t>
    <phoneticPr fontId="12"/>
  </si>
  <si>
    <t>B=</t>
    <phoneticPr fontId="12"/>
  </si>
  <si>
    <t>C=</t>
    <phoneticPr fontId="12"/>
  </si>
  <si>
    <t>AW=</t>
    <phoneticPr fontId="12"/>
  </si>
  <si>
    <t>BW=</t>
    <phoneticPr fontId="12"/>
  </si>
  <si>
    <t>CW=</t>
    <phoneticPr fontId="12"/>
  </si>
  <si>
    <t>DW=</t>
    <phoneticPr fontId="12"/>
  </si>
  <si>
    <t>EW=</t>
    <phoneticPr fontId="12"/>
  </si>
  <si>
    <t>Air Speed in Evaporator       (m/sec)</t>
    <phoneticPr fontId="12"/>
  </si>
  <si>
    <t>Capacity</t>
    <phoneticPr fontId="12"/>
  </si>
  <si>
    <t>COP</t>
    <phoneticPr fontId="12"/>
  </si>
  <si>
    <t>TC  Cond</t>
    <phoneticPr fontId="12"/>
  </si>
  <si>
    <t>TE  Evap</t>
    <phoneticPr fontId="12"/>
  </si>
  <si>
    <t>◇  Cooling capacity of Refrigerator Condition  ◇</t>
    <phoneticPr fontId="12"/>
  </si>
  <si>
    <t>TC-Sub cool</t>
    <phoneticPr fontId="12"/>
  </si>
  <si>
    <t>Fan out air temp         T3      (℃)</t>
    <phoneticPr fontId="12"/>
  </si>
  <si>
    <t>QF'  (FAN)                    (kcal/h)</t>
    <phoneticPr fontId="12"/>
  </si>
  <si>
    <t>R Air Volume             MR     (m3/h)</t>
    <phoneticPr fontId="12"/>
  </si>
  <si>
    <t>F Air Volume             MF     (m3/h)</t>
    <phoneticPr fontId="12"/>
  </si>
  <si>
    <t xml:space="preserve">QR'  (FAN)                    (kcal/h) </t>
    <phoneticPr fontId="12"/>
  </si>
  <si>
    <t>QEV'    =M*γ*CP*(TEVIN-TEVOUT)*PR</t>
    <phoneticPr fontId="12"/>
  </si>
  <si>
    <t>EV INLET  Air   Temp.     T1     (℃)</t>
    <phoneticPr fontId="12"/>
  </si>
  <si>
    <t>QEV''(Ability of Evaporator)  (kcal/h)</t>
    <phoneticPr fontId="12"/>
  </si>
  <si>
    <t>Calculate Cond Temp?  Yes=1, No=0</t>
    <phoneticPr fontId="12"/>
  </si>
  <si>
    <t>X2 =RUNNING RATIO          PR     (％)</t>
    <phoneticPr fontId="12"/>
  </si>
  <si>
    <t>X1 =EV OUT  Temp.          T2     (℃)</t>
    <phoneticPr fontId="12"/>
  </si>
  <si>
    <t>X3 = ⊿T ( TC-T0)</t>
    <phoneticPr fontId="12"/>
  </si>
  <si>
    <t>F2= Qtotal-Qcomp*PR</t>
    <phoneticPr fontId="12"/>
  </si>
  <si>
    <t>F1= QF-QF'</t>
    <phoneticPr fontId="12"/>
  </si>
  <si>
    <t>F3= QCout-QCin</t>
    <phoneticPr fontId="12"/>
  </si>
  <si>
    <t>TOTAL  QC0ut</t>
    <phoneticPr fontId="12"/>
  </si>
  <si>
    <t>Q COND  Qcin</t>
    <phoneticPr fontId="12"/>
  </si>
  <si>
    <t>K</t>
    <phoneticPr fontId="12"/>
  </si>
  <si>
    <t>Pipe Pitch</t>
    <phoneticPr fontId="12"/>
  </si>
  <si>
    <t>Side Cond</t>
    <phoneticPr fontId="12"/>
  </si>
  <si>
    <t>Back Cond</t>
    <phoneticPr fontId="12"/>
  </si>
  <si>
    <t>K</t>
    <phoneticPr fontId="12"/>
  </si>
  <si>
    <t>S</t>
    <phoneticPr fontId="12"/>
  </si>
  <si>
    <t>Side Cond</t>
    <phoneticPr fontId="12"/>
  </si>
  <si>
    <t>Back Cond</t>
    <phoneticPr fontId="12"/>
  </si>
  <si>
    <t>R ROOM   TR      (℃)</t>
    <phoneticPr fontId="12"/>
  </si>
  <si>
    <t>OUTSIDE  T0      (℃)</t>
    <phoneticPr fontId="12"/>
  </si>
  <si>
    <t>DP CON.  TC      (℃)</t>
    <phoneticPr fontId="12"/>
  </si>
  <si>
    <t>F ROOM   TF      (℃)</t>
    <phoneticPr fontId="12"/>
  </si>
  <si>
    <t>FAN SPEED               (rpm)</t>
    <phoneticPr fontId="12"/>
  </si>
  <si>
    <t>DEF. HEATER INPUT        (W)</t>
    <phoneticPr fontId="12"/>
  </si>
  <si>
    <t>Def. HEATER   ON  time  (min)</t>
    <phoneticPr fontId="12"/>
  </si>
  <si>
    <t>Qcomp(Ability of Compressor)   (kcal/h)</t>
    <phoneticPr fontId="12"/>
  </si>
  <si>
    <t>OK!</t>
  </si>
  <si>
    <t xml:space="preserve">Refrigerant </t>
    <phoneticPr fontId="12"/>
  </si>
  <si>
    <t>R-600a=1,R-134a=2</t>
    <phoneticPr fontId="12"/>
  </si>
  <si>
    <t>R-600a</t>
    <phoneticPr fontId="12"/>
  </si>
  <si>
    <t>R-134a</t>
    <phoneticPr fontId="12"/>
  </si>
  <si>
    <t>TC=</t>
  </si>
  <si>
    <t>Te=</t>
  </si>
  <si>
    <t>T0=</t>
  </si>
  <si>
    <t>Tsub=</t>
  </si>
  <si>
    <t>R-600a</t>
  </si>
  <si>
    <t>Pc=</t>
  </si>
  <si>
    <t>Pe=</t>
  </si>
  <si>
    <t>v=</t>
  </si>
  <si>
    <t>Hevin=</t>
  </si>
  <si>
    <t>Hevout=</t>
  </si>
  <si>
    <t>TC=</t>
    <phoneticPr fontId="12"/>
  </si>
  <si>
    <t>Td=</t>
    <phoneticPr fontId="12"/>
  </si>
  <si>
    <t>R-600a</t>
    <phoneticPr fontId="12"/>
  </si>
  <si>
    <t>R-134a</t>
    <phoneticPr fontId="12"/>
  </si>
  <si>
    <t>Hcod nin</t>
    <phoneticPr fontId="12"/>
  </si>
  <si>
    <t>Hcond out</t>
    <phoneticPr fontId="12"/>
  </si>
  <si>
    <r>
      <t>V(m</t>
    </r>
    <r>
      <rPr>
        <vertAlign val="superscript"/>
        <sz val="9"/>
        <rFont val="ｺﾞｼｯｸ"/>
        <family val="3"/>
        <charset val="128"/>
      </rPr>
      <t>3</t>
    </r>
    <r>
      <rPr>
        <sz val="9"/>
        <rFont val="ｺﾞｼｯｸ"/>
        <family val="3"/>
        <charset val="128"/>
      </rPr>
      <t>/kg）</t>
    </r>
    <phoneticPr fontId="12"/>
  </si>
  <si>
    <t>Pc (Tcond)</t>
    <phoneticPr fontId="12"/>
  </si>
  <si>
    <t>Pe (Teva)</t>
    <phoneticPr fontId="12"/>
  </si>
  <si>
    <t>Hout (kcal/kg)</t>
    <phoneticPr fontId="12"/>
  </si>
  <si>
    <t>Hin  (kcal/kg)</t>
    <phoneticPr fontId="12"/>
  </si>
  <si>
    <t>Capi Sub-cool</t>
    <phoneticPr fontId="12"/>
  </si>
  <si>
    <t>Hevin</t>
    <phoneticPr fontId="12"/>
  </si>
  <si>
    <t>Hevout</t>
    <phoneticPr fontId="12"/>
  </si>
  <si>
    <t>Pc (Tcond)</t>
    <phoneticPr fontId="12"/>
  </si>
  <si>
    <t>FAN COOL MODEL</t>
    <phoneticPr fontId="12"/>
  </si>
  <si>
    <t>FAN Diameter   φmm</t>
    <phoneticPr fontId="12"/>
  </si>
  <si>
    <t>冷媒</t>
    <rPh sb="0" eb="2">
      <t>レイバイ</t>
    </rPh>
    <phoneticPr fontId="12"/>
  </si>
  <si>
    <t>Ver. 2014/01/07</t>
    <phoneticPr fontId="12"/>
  </si>
  <si>
    <t>PWB input     Comp ON     (W)</t>
    <phoneticPr fontId="12"/>
  </si>
  <si>
    <t>PWB input     Comp OFF    (W)</t>
    <phoneticPr fontId="12"/>
  </si>
  <si>
    <t xml:space="preserve">ON Time INPUT </t>
    <phoneticPr fontId="12"/>
  </si>
  <si>
    <t>R-600a</t>
    <phoneticPr fontId="13"/>
  </si>
  <si>
    <t>&lt;  SJ-540   &gt;</t>
    <phoneticPr fontId="12"/>
  </si>
  <si>
    <t>Rpm0=</t>
    <phoneticPr fontId="12"/>
  </si>
  <si>
    <t>a=</t>
    <phoneticPr fontId="12"/>
  </si>
  <si>
    <t>b=</t>
    <phoneticPr fontId="12"/>
  </si>
  <si>
    <t>c=</t>
    <phoneticPr fontId="12"/>
  </si>
  <si>
    <t>Kηv=</t>
    <phoneticPr fontId="12"/>
  </si>
  <si>
    <t>ηv=(A+B*PC/PE+C*PC)*Kηv</t>
    <phoneticPr fontId="12"/>
  </si>
  <si>
    <t xml:space="preserve">Volume Efficiency </t>
    <phoneticPr fontId="12"/>
  </si>
  <si>
    <t>ηv</t>
    <phoneticPr fontId="12"/>
  </si>
  <si>
    <t>回転速度補正</t>
    <rPh sb="0" eb="2">
      <t>カイテン</t>
    </rPh>
    <rPh sb="2" eb="4">
      <t>ソクド</t>
    </rPh>
    <rPh sb="4" eb="6">
      <t>ホセイ</t>
    </rPh>
    <phoneticPr fontId="12"/>
  </si>
  <si>
    <t>Ka=</t>
    <phoneticPr fontId="12"/>
  </si>
  <si>
    <t>Kb=</t>
    <phoneticPr fontId="12"/>
  </si>
  <si>
    <t>Kc=</t>
    <phoneticPr fontId="12"/>
  </si>
  <si>
    <t>Kw=</t>
    <phoneticPr fontId="12"/>
  </si>
  <si>
    <t>W=(AW+BW*TE+CW*TC*TE+DW*TE^2)*Kw*Rpm/Rpm0</t>
    <phoneticPr fontId="12"/>
  </si>
  <si>
    <t>Rated capacity</t>
    <phoneticPr fontId="12"/>
  </si>
  <si>
    <t>kcal/h</t>
    <phoneticPr fontId="12"/>
  </si>
  <si>
    <t>入力回転数補正</t>
    <rPh sb="0" eb="2">
      <t>ニュウリョク</t>
    </rPh>
    <rPh sb="2" eb="5">
      <t>カイテンスウ</t>
    </rPh>
    <rPh sb="5" eb="7">
      <t>ホセイ</t>
    </rPh>
    <phoneticPr fontId="12"/>
  </si>
  <si>
    <t>◇  EVAPORATOR  (NALCO)  ◇</t>
    <phoneticPr fontId="12"/>
  </si>
  <si>
    <t>Evaporator Fin quantity</t>
    <phoneticPr fontId="12"/>
  </si>
  <si>
    <t>1 段</t>
    <rPh sb="2" eb="3">
      <t>ダン</t>
    </rPh>
    <phoneticPr fontId="12"/>
  </si>
  <si>
    <t>2 段</t>
    <rPh sb="2" eb="3">
      <t>ダン</t>
    </rPh>
    <phoneticPr fontId="12"/>
  </si>
  <si>
    <t>3 段</t>
    <rPh sb="2" eb="3">
      <t>ダン</t>
    </rPh>
    <phoneticPr fontId="12"/>
  </si>
  <si>
    <t>4 段</t>
    <rPh sb="2" eb="3">
      <t>ダン</t>
    </rPh>
    <phoneticPr fontId="12"/>
  </si>
  <si>
    <t>5 段</t>
    <rPh sb="2" eb="3">
      <t>ダン</t>
    </rPh>
    <phoneticPr fontId="12"/>
  </si>
  <si>
    <t>6 段</t>
    <rPh sb="2" eb="3">
      <t>ダン</t>
    </rPh>
    <phoneticPr fontId="12"/>
  </si>
  <si>
    <t>7 段</t>
    <rPh sb="2" eb="3">
      <t>ダン</t>
    </rPh>
    <phoneticPr fontId="12"/>
  </si>
  <si>
    <t>8 段</t>
    <rPh sb="2" eb="3">
      <t>ダン</t>
    </rPh>
    <phoneticPr fontId="12"/>
  </si>
  <si>
    <t>Total</t>
    <phoneticPr fontId="12"/>
  </si>
  <si>
    <t xml:space="preserve">◇ quantity of Evaporator fin  ◇ </t>
    <phoneticPr fontId="12"/>
  </si>
  <si>
    <t>枚数</t>
    <rPh sb="0" eb="2">
      <t>マイスウ</t>
    </rPh>
    <phoneticPr fontId="12"/>
  </si>
  <si>
    <t>熱通過率</t>
    <rPh sb="0" eb="1">
      <t>ネツ</t>
    </rPh>
    <rPh sb="1" eb="3">
      <t>ツウカ</t>
    </rPh>
    <rPh sb="3" eb="4">
      <t>リツ</t>
    </rPh>
    <phoneticPr fontId="12"/>
  </si>
  <si>
    <t>面積</t>
    <rPh sb="0" eb="2">
      <t>メンセキ</t>
    </rPh>
    <phoneticPr fontId="12"/>
  </si>
  <si>
    <t>Defrosting cycle   Hr</t>
    <phoneticPr fontId="12"/>
  </si>
  <si>
    <t>EGX80CLC 100V 50Hz</t>
    <phoneticPr fontId="12"/>
  </si>
  <si>
    <t>サイドコン・バックコンの熱通過率</t>
    <rPh sb="12" eb="13">
      <t>ネツ</t>
    </rPh>
    <rPh sb="13" eb="15">
      <t>ツウカ</t>
    </rPh>
    <rPh sb="15" eb="16">
      <t>リツ</t>
    </rPh>
    <phoneticPr fontId="12"/>
  </si>
  <si>
    <t>EV WIDTH  (=30mm*N)      (mm)</t>
    <phoneticPr fontId="12"/>
  </si>
  <si>
    <t>EV DEPTH                 (mm)</t>
    <phoneticPr fontId="12"/>
  </si>
  <si>
    <t>EV Tire (段数)</t>
    <rPh sb="9" eb="11">
      <t>ダンスウ</t>
    </rPh>
    <phoneticPr fontId="12"/>
  </si>
  <si>
    <t>バックコン放熱効率</t>
    <rPh sb="5" eb="7">
      <t>ホウネツ</t>
    </rPh>
    <rPh sb="7" eb="9">
      <t>コウリツ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</si>
</sst>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&quot;R ROOM=&quot;#,###.00"/>
    <numFmt numFmtId="165" formatCode="&quot;OUTSIDE=&quot;#,###.00"/>
    <numFmt numFmtId="166" formatCode="&quot;EVA OUT=&quot;#,###.00;&quot;EVA OUT=&quot;\-#,##0.00"/>
    <numFmt numFmtId="167" formatCode="&quot;EVA IN =&quot;#,###.00;&quot;EVA IN =&quot;\-#,##0.00"/>
    <numFmt numFmtId="168" formatCode="&quot;F ROOM=&quot;#,###.00;&quot;F ROOM=&quot;\-#,##0.00"/>
    <numFmt numFmtId="169" formatCode="&quot;PS FORM=&quot;##,##0.00"/>
    <numFmt numFmtId="170" formatCode="&quot;EV COV.=&quot;##,##0.00"/>
    <numFmt numFmtId="171" formatCode="#,##0.0000"/>
    <numFmt numFmtId="172" formatCode="0.0"/>
    <numFmt numFmtId="173" formatCode="#,##0.0"/>
    <numFmt numFmtId="174" formatCode="0.0000"/>
    <numFmt numFmtId="175" formatCode="0.000"/>
    <numFmt numFmtId="176" formatCode="0.0%"/>
    <numFmt numFmtId="177" formatCode="&quot;A=&quot;##,##0.0000;&quot;A=&quot;\-#,##0.0000"/>
    <numFmt numFmtId="178" formatCode="#,##0.000&quot; m2 &quot;"/>
    <numFmt numFmtId="179" formatCode="#,##0.000&quot; m  &quot;"/>
    <numFmt numFmtId="180" formatCode="0.0_ "/>
    <numFmt numFmtId="181" formatCode="0_ "/>
    <numFmt numFmtId="182" formatCode="0.0&quot;W&quot;"/>
    <numFmt numFmtId="183" formatCode="0.00_ "/>
    <numFmt numFmtId="184" formatCode="#,##0.00_ "/>
    <numFmt numFmtId="185" formatCode="#,##0.000000000000000_ "/>
    <numFmt numFmtId="186" formatCode="0.000000_ "/>
    <numFmt numFmtId="187" formatCode="&quot;B=&quot;##,##0.00000;&quot;B=&quot;\-#,##0.00000"/>
    <numFmt numFmtId="188" formatCode="0.000_ "/>
    <numFmt numFmtId="189" formatCode="0.0000_ "/>
    <numFmt numFmtId="190" formatCode="0.00000_ "/>
    <numFmt numFmtId="191" formatCode="#,##0.000"/>
    <numFmt numFmtId="192" formatCode="0.0&quot; W&quot;"/>
    <numFmt numFmtId="193" formatCode="0.000E+00"/>
  </numFmts>
  <fonts count="31">
    <font>
      <sz val="9"/>
      <name val="標準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明朝"/>
      <family val="1"/>
      <charset val="128"/>
    </font>
    <font>
      <sz val="9"/>
      <name val="ｺﾞｼｯｸ"/>
      <family val="3"/>
      <charset val="128"/>
    </font>
    <font>
      <sz val="8"/>
      <name val="ｺﾞｼｯｸ"/>
      <family val="3"/>
      <charset val="128"/>
    </font>
    <font>
      <sz val="9"/>
      <color indexed="10"/>
      <name val="ｺﾞｼｯｸ"/>
      <family val="3"/>
      <charset val="128"/>
    </font>
    <font>
      <b/>
      <sz val="9"/>
      <name val="ｺﾞｼｯｸ"/>
      <family val="3"/>
      <charset val="128"/>
    </font>
    <font>
      <sz val="9"/>
      <color indexed="8"/>
      <name val="ｺﾞｼｯｸ"/>
      <family val="3"/>
      <charset val="128"/>
    </font>
    <font>
      <sz val="9"/>
      <color indexed="12"/>
      <name val="ｺﾞｼｯｸ"/>
      <family val="3"/>
      <charset val="128"/>
    </font>
    <font>
      <sz val="9"/>
      <name val="ＭＳ ゴシック"/>
      <family val="3"/>
      <charset val="128"/>
    </font>
    <font>
      <sz val="9"/>
      <color indexed="10"/>
      <name val="標準ゴシック"/>
      <family val="3"/>
      <charset val="128"/>
    </font>
    <font>
      <sz val="6"/>
      <name val="ＭＳ Ｐゴシック"/>
      <family val="3"/>
      <charset val="128"/>
    </font>
    <font>
      <vertAlign val="superscript"/>
      <sz val="9"/>
      <name val="ｺﾞｼｯｸ"/>
      <family val="3"/>
      <charset val="128"/>
    </font>
    <font>
      <sz val="11"/>
      <name val="ＭＳ Ｐゴシック"/>
      <family val="3"/>
      <charset val="128"/>
    </font>
    <font>
      <sz val="8"/>
      <color indexed="10"/>
      <name val="ｺﾞｼｯｸ"/>
      <family val="3"/>
      <charset val="128"/>
    </font>
    <font>
      <sz val="8"/>
      <color indexed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color indexed="12"/>
      <name val="ｺﾞｼｯｸ"/>
      <family val="3"/>
      <charset val="128"/>
    </font>
    <font>
      <sz val="9"/>
      <color indexed="48"/>
      <name val="ｺﾞｼｯｸ"/>
      <family val="3"/>
      <charset val="128"/>
    </font>
    <font>
      <sz val="9"/>
      <color rgb="FFFF0000"/>
      <name val="ｺﾞｼｯｸ"/>
      <family val="3"/>
      <charset val="128"/>
    </font>
    <font>
      <b/>
      <sz val="9"/>
      <color rgb="FFFF0000"/>
      <name val="ｺﾞｼｯｸ"/>
      <family val="3"/>
      <charset val="128"/>
    </font>
    <font>
      <sz val="9"/>
      <name val="Calibri"/>
      <family val="3"/>
      <charset val="128"/>
      <scheme val="minor"/>
    </font>
    <font>
      <sz val="9"/>
      <color rgb="FFFF0000"/>
      <name val="Calibri"/>
      <family val="3"/>
      <charset val="128"/>
      <scheme val="minor"/>
    </font>
    <font>
      <sz val="9"/>
      <color indexed="10"/>
      <name val="Calibri"/>
      <family val="3"/>
      <charset val="128"/>
      <scheme val="minor"/>
    </font>
    <font>
      <b/>
      <sz val="10"/>
      <color rgb="FFFF0000"/>
      <name val="ｺﾞｼｯｸ"/>
      <family val="3"/>
      <charset val="128"/>
    </font>
    <font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rgb="FF000000"/>
      <name val="標準ゴシック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/>
    <xf numFmtId="0" fontId="3" fillId="0" borderId="0"/>
    <xf numFmtId="0" fontId="14" fillId="0" borderId="0">
      <alignment vertical="center"/>
    </xf>
  </cellStyleXfs>
  <cellXfs count="34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>
      <alignment vertical="center"/>
    </xf>
    <xf numFmtId="169" fontId="4" fillId="0" borderId="0" xfId="0" applyNumberFormat="1" applyFont="1">
      <alignment vertical="center"/>
    </xf>
    <xf numFmtId="0" fontId="4" fillId="0" borderId="3" xfId="0" applyFont="1" applyBorder="1">
      <alignment vertical="center"/>
    </xf>
    <xf numFmtId="170" fontId="4" fillId="0" borderId="0" xfId="0" applyNumberFormat="1" applyFont="1">
      <alignment vertical="center"/>
    </xf>
    <xf numFmtId="0" fontId="4" fillId="0" borderId="5" xfId="0" applyFont="1" applyBorder="1">
      <alignment vertical="center"/>
    </xf>
    <xf numFmtId="3" fontId="4" fillId="0" borderId="0" xfId="0" applyNumberFormat="1" applyFont="1">
      <alignment vertical="center"/>
    </xf>
    <xf numFmtId="4" fontId="4" fillId="0" borderId="0" xfId="0" applyNumberFormat="1" applyFont="1">
      <alignment vertical="center"/>
    </xf>
    <xf numFmtId="168" fontId="4" fillId="0" borderId="0" xfId="0" applyNumberFormat="1" applyFont="1">
      <alignment vertical="center"/>
    </xf>
    <xf numFmtId="164" fontId="4" fillId="0" borderId="0" xfId="0" applyNumberFormat="1" applyFont="1">
      <alignment vertical="center"/>
    </xf>
    <xf numFmtId="167" fontId="4" fillId="0" borderId="0" xfId="0" applyNumberFormat="1" applyFont="1">
      <alignment vertical="center"/>
    </xf>
    <xf numFmtId="166" fontId="4" fillId="0" borderId="0" xfId="0" applyNumberFormat="1" applyFont="1">
      <alignment vertical="center"/>
    </xf>
    <xf numFmtId="165" fontId="4" fillId="0" borderId="0" xfId="0" applyNumberFormat="1" applyFont="1">
      <alignment vertical="center"/>
    </xf>
    <xf numFmtId="171" fontId="4" fillId="0" borderId="6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171" fontId="4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171" fontId="4" fillId="0" borderId="2" xfId="0" applyNumberFormat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>
      <alignment vertical="center"/>
    </xf>
    <xf numFmtId="2" fontId="0" fillId="0" borderId="15" xfId="0" applyNumberFormat="1" applyBorder="1">
      <alignment vertical="center"/>
    </xf>
    <xf numFmtId="0" fontId="0" fillId="0" borderId="16" xfId="0" applyBorder="1">
      <alignment vertical="center"/>
    </xf>
    <xf numFmtId="14" fontId="4" fillId="0" borderId="0" xfId="0" applyNumberFormat="1" applyFont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9" xfId="0" applyFont="1" applyBorder="1">
      <alignment vertical="center"/>
    </xf>
    <xf numFmtId="0" fontId="0" fillId="0" borderId="12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0" fillId="0" borderId="14" xfId="0" applyBorder="1" applyAlignment="1">
      <alignment horizontal="center" vertical="center"/>
    </xf>
    <xf numFmtId="171" fontId="9" fillId="0" borderId="0" xfId="0" applyNumberFormat="1" applyFont="1" applyAlignment="1">
      <alignment horizontal="left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0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171" fontId="4" fillId="0" borderId="24" xfId="0" applyNumberFormat="1" applyFont="1" applyBorder="1">
      <alignment vertical="center"/>
    </xf>
    <xf numFmtId="0" fontId="4" fillId="0" borderId="24" xfId="0" applyFont="1" applyBorder="1">
      <alignment vertical="center"/>
    </xf>
    <xf numFmtId="0" fontId="4" fillId="0" borderId="9" xfId="0" applyFont="1" applyBorder="1">
      <alignment vertical="center"/>
    </xf>
    <xf numFmtId="173" fontId="4" fillId="0" borderId="0" xfId="0" applyNumberFormat="1" applyFont="1">
      <alignment vertical="center"/>
    </xf>
    <xf numFmtId="0" fontId="11" fillId="0" borderId="0" xfId="0" applyFont="1">
      <alignment vertical="center"/>
    </xf>
    <xf numFmtId="0" fontId="16" fillId="0" borderId="23" xfId="3" applyFont="1" applyBorder="1">
      <alignment vertical="center"/>
    </xf>
    <xf numFmtId="0" fontId="17" fillId="0" borderId="24" xfId="3" applyFont="1" applyBorder="1">
      <alignment vertical="center"/>
    </xf>
    <xf numFmtId="0" fontId="16" fillId="0" borderId="24" xfId="3" applyFont="1" applyBorder="1">
      <alignment vertical="center"/>
    </xf>
    <xf numFmtId="0" fontId="17" fillId="0" borderId="9" xfId="3" applyFont="1" applyBorder="1">
      <alignment vertical="center"/>
    </xf>
    <xf numFmtId="0" fontId="19" fillId="0" borderId="0" xfId="0" applyFont="1">
      <alignment vertical="center"/>
    </xf>
    <xf numFmtId="181" fontId="4" fillId="0" borderId="0" xfId="0" applyNumberFormat="1" applyFont="1" applyAlignment="1">
      <alignment horizontal="right" vertical="center"/>
    </xf>
    <xf numFmtId="183" fontId="4" fillId="0" borderId="0" xfId="0" applyNumberFormat="1" applyFont="1" applyAlignment="1">
      <alignment horizontal="right" vertical="center"/>
    </xf>
    <xf numFmtId="0" fontId="4" fillId="0" borderId="23" xfId="0" applyFont="1" applyBorder="1">
      <alignment vertical="center"/>
    </xf>
    <xf numFmtId="0" fontId="0" fillId="0" borderId="24" xfId="0" applyBorder="1">
      <alignment vertical="center"/>
    </xf>
    <xf numFmtId="185" fontId="4" fillId="0" borderId="0" xfId="0" applyNumberFormat="1" applyFont="1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83" fontId="4" fillId="0" borderId="0" xfId="0" applyNumberFormat="1" applyFont="1">
      <alignment vertical="center"/>
    </xf>
    <xf numFmtId="174" fontId="4" fillId="0" borderId="0" xfId="0" applyNumberFormat="1" applyFont="1">
      <alignment vertical="center"/>
    </xf>
    <xf numFmtId="0" fontId="4" fillId="0" borderId="0" xfId="2" applyFont="1" applyAlignment="1">
      <alignment vertical="center"/>
    </xf>
    <xf numFmtId="172" fontId="9" fillId="0" borderId="0" xfId="0" applyNumberFormat="1" applyFont="1">
      <alignment vertical="center"/>
    </xf>
    <xf numFmtId="183" fontId="4" fillId="0" borderId="20" xfId="0" applyNumberFormat="1" applyFont="1" applyBorder="1">
      <alignment vertical="center"/>
    </xf>
    <xf numFmtId="183" fontId="4" fillId="0" borderId="9" xfId="0" applyNumberFormat="1" applyFont="1" applyBorder="1">
      <alignment vertical="center"/>
    </xf>
    <xf numFmtId="0" fontId="4" fillId="0" borderId="20" xfId="0" applyFont="1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1" fillId="0" borderId="0" xfId="0" applyFont="1">
      <alignment vertical="center"/>
    </xf>
    <xf numFmtId="188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8" fillId="0" borderId="24" xfId="0" applyFont="1" applyBorder="1">
      <alignment vertical="center"/>
    </xf>
    <xf numFmtId="0" fontId="4" fillId="0" borderId="23" xfId="0" applyFont="1" applyBorder="1" applyAlignment="1">
      <alignment horizontal="right" vertical="center" wrapText="1"/>
    </xf>
    <xf numFmtId="173" fontId="4" fillId="0" borderId="24" xfId="0" applyNumberFormat="1" applyFont="1" applyBorder="1">
      <alignment vertical="center"/>
    </xf>
    <xf numFmtId="171" fontId="4" fillId="0" borderId="9" xfId="0" applyNumberFormat="1" applyFont="1" applyBorder="1">
      <alignment vertical="center"/>
    </xf>
    <xf numFmtId="176" fontId="4" fillId="0" borderId="0" xfId="1" applyNumberFormat="1" applyFont="1" applyBorder="1" applyAlignment="1">
      <alignment vertical="center"/>
    </xf>
    <xf numFmtId="2" fontId="4" fillId="0" borderId="24" xfId="0" applyNumberFormat="1" applyFont="1" applyBorder="1">
      <alignment vertical="center"/>
    </xf>
    <xf numFmtId="171" fontId="4" fillId="0" borderId="24" xfId="0" applyNumberFormat="1" applyFont="1" applyBorder="1" applyAlignment="1">
      <alignment horizontal="center" vertical="center"/>
    </xf>
    <xf numFmtId="2" fontId="4" fillId="0" borderId="24" xfId="0" applyNumberFormat="1" applyFont="1" applyBorder="1" applyAlignment="1">
      <alignment horizontal="center" vertical="center"/>
    </xf>
    <xf numFmtId="171" fontId="4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174" fontId="4" fillId="0" borderId="9" xfId="0" applyNumberFormat="1" applyFont="1" applyBorder="1">
      <alignment vertical="center"/>
    </xf>
    <xf numFmtId="0" fontId="4" fillId="0" borderId="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29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20" xfId="0" applyFont="1" applyBorder="1" applyAlignment="1">
      <alignment horizontal="center" vertical="center"/>
    </xf>
    <xf numFmtId="180" fontId="4" fillId="0" borderId="0" xfId="0" applyNumberFormat="1" applyFont="1">
      <alignment vertical="center"/>
    </xf>
    <xf numFmtId="180" fontId="4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0" fontId="22" fillId="0" borderId="0" xfId="0" applyNumberFormat="1" applyFont="1">
      <alignment vertical="center"/>
    </xf>
    <xf numFmtId="180" fontId="2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7" borderId="20" xfId="0" applyFont="1" applyFill="1" applyBorder="1">
      <alignment vertical="center"/>
    </xf>
    <xf numFmtId="0" fontId="4" fillId="7" borderId="20" xfId="0" applyFont="1" applyFill="1" applyBorder="1" applyAlignment="1">
      <alignment horizontal="right" vertical="center"/>
    </xf>
    <xf numFmtId="10" fontId="4" fillId="0" borderId="0" xfId="1" applyNumberFormat="1" applyFont="1" applyBorder="1" applyAlignment="1">
      <alignment vertical="center"/>
    </xf>
    <xf numFmtId="0" fontId="4" fillId="0" borderId="23" xfId="0" applyFont="1" applyBorder="1" applyAlignment="1">
      <alignment horizontal="left" vertical="center"/>
    </xf>
    <xf numFmtId="0" fontId="9" fillId="0" borderId="23" xfId="0" applyFont="1" applyBorder="1">
      <alignment vertical="center"/>
    </xf>
    <xf numFmtId="0" fontId="4" fillId="0" borderId="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30" xfId="0" applyBorder="1">
      <alignment vertical="center"/>
    </xf>
    <xf numFmtId="0" fontId="0" fillId="0" borderId="20" xfId="0" applyBorder="1" applyAlignment="1">
      <alignment vertical="center" shrinkToFit="1"/>
    </xf>
    <xf numFmtId="4" fontId="15" fillId="0" borderId="24" xfId="3" applyNumberFormat="1" applyFont="1" applyBorder="1">
      <alignment vertical="center"/>
    </xf>
    <xf numFmtId="2" fontId="5" fillId="6" borderId="24" xfId="3" applyNumberFormat="1" applyFont="1" applyFill="1" applyBorder="1">
      <alignment vertical="center"/>
    </xf>
    <xf numFmtId="0" fontId="4" fillId="5" borderId="24" xfId="0" applyFont="1" applyFill="1" applyBorder="1">
      <alignment vertical="center"/>
    </xf>
    <xf numFmtId="2" fontId="5" fillId="5" borderId="24" xfId="3" applyNumberFormat="1" applyFont="1" applyFill="1" applyBorder="1">
      <alignment vertical="center"/>
    </xf>
    <xf numFmtId="2" fontId="5" fillId="4" borderId="24" xfId="3" applyNumberFormat="1" applyFont="1" applyFill="1" applyBorder="1">
      <alignment vertical="center"/>
    </xf>
    <xf numFmtId="4" fontId="18" fillId="0" borderId="24" xfId="3" applyNumberFormat="1" applyFont="1" applyBorder="1">
      <alignment vertical="center"/>
    </xf>
    <xf numFmtId="4" fontId="18" fillId="0" borderId="9" xfId="3" applyNumberFormat="1" applyFont="1" applyBorder="1">
      <alignment vertical="center"/>
    </xf>
    <xf numFmtId="4" fontId="6" fillId="0" borderId="23" xfId="0" applyNumberFormat="1" applyFont="1" applyBorder="1">
      <alignment vertical="center"/>
    </xf>
    <xf numFmtId="4" fontId="6" fillId="0" borderId="24" xfId="0" applyNumberFormat="1" applyFont="1" applyBorder="1">
      <alignment vertical="center"/>
    </xf>
    <xf numFmtId="4" fontId="6" fillId="0" borderId="9" xfId="0" applyNumberFormat="1" applyFont="1" applyBorder="1">
      <alignment vertical="center"/>
    </xf>
    <xf numFmtId="176" fontId="4" fillId="0" borderId="0" xfId="1" applyNumberFormat="1" applyFont="1" applyAlignment="1">
      <alignment vertical="center"/>
    </xf>
    <xf numFmtId="4" fontId="9" fillId="2" borderId="23" xfId="0" applyNumberFormat="1" applyFont="1" applyFill="1" applyBorder="1">
      <alignment vertical="center"/>
    </xf>
    <xf numFmtId="176" fontId="9" fillId="4" borderId="24" xfId="0" applyNumberFormat="1" applyFont="1" applyFill="1" applyBorder="1">
      <alignment vertical="center"/>
    </xf>
    <xf numFmtId="175" fontId="5" fillId="0" borderId="24" xfId="3" applyNumberFormat="1" applyFont="1" applyBorder="1">
      <alignment vertical="center"/>
    </xf>
    <xf numFmtId="0" fontId="4" fillId="3" borderId="24" xfId="0" applyFont="1" applyFill="1" applyBorder="1">
      <alignment vertical="center"/>
    </xf>
    <xf numFmtId="4" fontId="4" fillId="0" borderId="24" xfId="0" applyNumberFormat="1" applyFont="1" applyBorder="1">
      <alignment vertical="center"/>
    </xf>
    <xf numFmtId="0" fontId="4" fillId="0" borderId="8" xfId="0" applyFont="1" applyBorder="1">
      <alignment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7" borderId="24" xfId="0" applyFont="1" applyFill="1" applyBorder="1">
      <alignment vertical="center"/>
    </xf>
    <xf numFmtId="0" fontId="4" fillId="8" borderId="24" xfId="0" applyFont="1" applyFill="1" applyBorder="1">
      <alignment vertical="center"/>
    </xf>
    <xf numFmtId="0" fontId="4" fillId="7" borderId="23" xfId="0" applyFont="1" applyFill="1" applyBorder="1" applyAlignment="1">
      <alignment horizontal="left" vertical="center"/>
    </xf>
    <xf numFmtId="0" fontId="4" fillId="7" borderId="9" xfId="0" applyFont="1" applyFill="1" applyBorder="1">
      <alignment vertical="center"/>
    </xf>
    <xf numFmtId="0" fontId="20" fillId="0" borderId="20" xfId="0" applyFont="1" applyBorder="1">
      <alignment vertical="center"/>
    </xf>
    <xf numFmtId="0" fontId="21" fillId="0" borderId="20" xfId="0" applyFont="1" applyBorder="1" applyAlignment="1">
      <alignment horizontal="center" vertical="center"/>
    </xf>
    <xf numFmtId="0" fontId="4" fillId="0" borderId="32" xfId="0" applyFont="1" applyBorder="1">
      <alignment vertical="center"/>
    </xf>
    <xf numFmtId="0" fontId="4" fillId="9" borderId="23" xfId="0" applyFont="1" applyFill="1" applyBorder="1" applyAlignment="1">
      <alignment horizontal="center" vertical="center"/>
    </xf>
    <xf numFmtId="0" fontId="4" fillId="0" borderId="33" xfId="0" applyFont="1" applyBorder="1">
      <alignment vertical="center"/>
    </xf>
    <xf numFmtId="0" fontId="4" fillId="9" borderId="24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0" borderId="34" xfId="0" applyFont="1" applyBorder="1">
      <alignment vertical="center"/>
    </xf>
    <xf numFmtId="183" fontId="4" fillId="9" borderId="23" xfId="0" applyNumberFormat="1" applyFont="1" applyFill="1" applyBorder="1" applyAlignment="1">
      <alignment horizontal="center" vertical="center"/>
    </xf>
    <xf numFmtId="183" fontId="4" fillId="9" borderId="24" xfId="0" applyNumberFormat="1" applyFont="1" applyFill="1" applyBorder="1" applyAlignment="1">
      <alignment horizontal="center" vertical="center"/>
    </xf>
    <xf numFmtId="183" fontId="4" fillId="9" borderId="9" xfId="0" applyNumberFormat="1" applyFont="1" applyFill="1" applyBorder="1" applyAlignment="1">
      <alignment horizontal="center" vertical="center"/>
    </xf>
    <xf numFmtId="0" fontId="4" fillId="9" borderId="23" xfId="0" applyFont="1" applyFill="1" applyBorder="1">
      <alignment vertical="center"/>
    </xf>
    <xf numFmtId="0" fontId="4" fillId="9" borderId="8" xfId="0" applyFont="1" applyFill="1" applyBorder="1">
      <alignment vertical="center"/>
    </xf>
    <xf numFmtId="0" fontId="4" fillId="9" borderId="9" xfId="0" applyFont="1" applyFill="1" applyBorder="1">
      <alignment vertical="center"/>
    </xf>
    <xf numFmtId="0" fontId="4" fillId="0" borderId="23" xfId="0" applyFont="1" applyBorder="1" applyAlignment="1">
      <alignment horizontal="center" vertical="center"/>
    </xf>
    <xf numFmtId="0" fontId="6" fillId="0" borderId="23" xfId="0" applyFont="1" applyBorder="1">
      <alignment vertical="center"/>
    </xf>
    <xf numFmtId="0" fontId="4" fillId="0" borderId="0" xfId="0" applyFont="1" applyAlignment="1">
      <alignment horizontal="right" vertical="center"/>
    </xf>
    <xf numFmtId="2" fontId="4" fillId="0" borderId="0" xfId="0" applyNumberFormat="1" applyFont="1">
      <alignment vertical="center"/>
    </xf>
    <xf numFmtId="0" fontId="25" fillId="0" borderId="0" xfId="0" applyFont="1" applyAlignment="1">
      <alignment horizontal="center" vertical="center"/>
    </xf>
    <xf numFmtId="0" fontId="4" fillId="0" borderId="25" xfId="0" applyFont="1" applyBorder="1">
      <alignment vertical="center"/>
    </xf>
    <xf numFmtId="4" fontId="15" fillId="0" borderId="25" xfId="3" applyNumberFormat="1" applyFont="1" applyBorder="1">
      <alignment vertical="center"/>
    </xf>
    <xf numFmtId="9" fontId="26" fillId="0" borderId="0" xfId="1" applyFont="1" applyFill="1" applyBorder="1" applyAlignment="1">
      <alignment vertical="center"/>
    </xf>
    <xf numFmtId="188" fontId="26" fillId="0" borderId="0" xfId="1" applyNumberFormat="1" applyFont="1" applyFill="1" applyBorder="1" applyAlignment="1">
      <alignment horizontal="right" vertical="center"/>
    </xf>
    <xf numFmtId="189" fontId="26" fillId="0" borderId="0" xfId="1" applyNumberFormat="1" applyFont="1" applyFill="1" applyBorder="1" applyAlignment="1">
      <alignment horizontal="right" vertical="center"/>
    </xf>
    <xf numFmtId="190" fontId="26" fillId="0" borderId="0" xfId="1" applyNumberFormat="1" applyFont="1" applyFill="1" applyBorder="1" applyAlignment="1">
      <alignment horizontal="right" vertical="center"/>
    </xf>
    <xf numFmtId="186" fontId="26" fillId="0" borderId="0" xfId="1" applyNumberFormat="1" applyFont="1" applyFill="1" applyBorder="1" applyAlignment="1">
      <alignment horizontal="right" vertical="center"/>
    </xf>
    <xf numFmtId="1" fontId="0" fillId="0" borderId="0" xfId="0" applyNumberFormat="1" applyAlignment="1">
      <alignment horizontal="center"/>
    </xf>
    <xf numFmtId="0" fontId="26" fillId="0" borderId="0" xfId="0" applyFont="1">
      <alignment vertical="center"/>
    </xf>
    <xf numFmtId="181" fontId="26" fillId="0" borderId="0" xfId="1" applyNumberFormat="1" applyFont="1" applyFill="1" applyBorder="1" applyAlignment="1">
      <alignment horizontal="right" vertical="center"/>
    </xf>
    <xf numFmtId="180" fontId="26" fillId="0" borderId="0" xfId="1" applyNumberFormat="1" applyFont="1" applyFill="1" applyBorder="1" applyAlignment="1">
      <alignment horizontal="right" vertical="center"/>
    </xf>
    <xf numFmtId="180" fontId="27" fillId="0" borderId="0" xfId="0" applyNumberFormat="1" applyFont="1">
      <alignment vertical="center"/>
    </xf>
    <xf numFmtId="3" fontId="4" fillId="0" borderId="0" xfId="0" applyNumberFormat="1" applyFont="1" applyAlignment="1">
      <alignment horizontal="right" vertical="center"/>
    </xf>
    <xf numFmtId="173" fontId="4" fillId="0" borderId="0" xfId="0" applyNumberFormat="1" applyFont="1" applyAlignment="1">
      <alignment horizontal="right" vertical="center"/>
    </xf>
    <xf numFmtId="172" fontId="4" fillId="0" borderId="0" xfId="0" applyNumberFormat="1" applyFont="1" applyAlignment="1">
      <alignment horizontal="right" vertical="center"/>
    </xf>
    <xf numFmtId="171" fontId="4" fillId="0" borderId="0" xfId="0" applyNumberFormat="1" applyFont="1">
      <alignment vertical="center"/>
    </xf>
    <xf numFmtId="176" fontId="4" fillId="0" borderId="0" xfId="1" applyNumberFormat="1" applyFont="1" applyFill="1" applyBorder="1" applyAlignment="1">
      <alignment horizontal="right"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189" fontId="27" fillId="0" borderId="0" xfId="0" applyNumberFormat="1" applyFont="1">
      <alignment vertical="center"/>
    </xf>
    <xf numFmtId="182" fontId="4" fillId="0" borderId="0" xfId="0" applyNumberFormat="1" applyFont="1">
      <alignment vertical="center"/>
    </xf>
    <xf numFmtId="192" fontId="4" fillId="0" borderId="0" xfId="0" applyNumberFormat="1" applyFont="1">
      <alignment vertical="center"/>
    </xf>
    <xf numFmtId="183" fontId="27" fillId="0" borderId="0" xfId="0" applyNumberFormat="1" applyFont="1">
      <alignment vertical="center"/>
    </xf>
    <xf numFmtId="10" fontId="4" fillId="0" borderId="0" xfId="1" applyNumberFormat="1" applyFont="1" applyFill="1" applyBorder="1" applyAlignment="1">
      <alignment vertical="center"/>
    </xf>
    <xf numFmtId="0" fontId="14" fillId="0" borderId="20" xfId="0" applyFont="1" applyBorder="1" applyAlignment="1">
      <alignment horizontal="center" vertical="center"/>
    </xf>
    <xf numFmtId="0" fontId="14" fillId="0" borderId="20" xfId="0" applyFont="1" applyBorder="1" applyAlignment="1">
      <alignment horizontal="right" vertical="center"/>
    </xf>
    <xf numFmtId="2" fontId="14" fillId="0" borderId="23" xfId="0" applyNumberFormat="1" applyFont="1" applyBorder="1" applyAlignment="1">
      <alignment horizontal="right" vertical="center"/>
    </xf>
    <xf numFmtId="2" fontId="14" fillId="0" borderId="9" xfId="0" applyNumberFormat="1" applyFont="1" applyBorder="1" applyAlignment="1">
      <alignment horizontal="right" vertical="center"/>
    </xf>
    <xf numFmtId="183" fontId="14" fillId="0" borderId="20" xfId="0" applyNumberFormat="1" applyFont="1" applyBorder="1" applyAlignment="1">
      <alignment horizontal="right" vertical="center"/>
    </xf>
    <xf numFmtId="189" fontId="14" fillId="0" borderId="23" xfId="0" applyNumberFormat="1" applyFont="1" applyBorder="1" applyAlignment="1">
      <alignment horizontal="right" vertical="center"/>
    </xf>
    <xf numFmtId="189" fontId="14" fillId="0" borderId="24" xfId="0" applyNumberFormat="1" applyFont="1" applyBorder="1" applyAlignment="1">
      <alignment horizontal="right" vertical="center"/>
    </xf>
    <xf numFmtId="189" fontId="14" fillId="0" borderId="9" xfId="0" applyNumberFormat="1" applyFont="1" applyBorder="1" applyAlignment="1">
      <alignment horizontal="right" vertical="center"/>
    </xf>
    <xf numFmtId="183" fontId="14" fillId="0" borderId="23" xfId="0" applyNumberFormat="1" applyFont="1" applyBorder="1" applyAlignment="1">
      <alignment horizontal="righ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2" fontId="14" fillId="0" borderId="0" xfId="0" applyNumberFormat="1" applyFont="1" applyAlignment="1">
      <alignment horizontal="right" vertical="center"/>
    </xf>
    <xf numFmtId="2" fontId="14" fillId="0" borderId="0" xfId="0" applyNumberFormat="1" applyFont="1" applyAlignment="1">
      <alignment horizontal="center" vertical="center"/>
    </xf>
    <xf numFmtId="183" fontId="14" fillId="0" borderId="0" xfId="0" applyNumberFormat="1" applyFont="1" applyAlignment="1">
      <alignment horizontal="right" vertical="center"/>
    </xf>
    <xf numFmtId="183" fontId="14" fillId="0" borderId="0" xfId="0" applyNumberFormat="1" applyFont="1" applyAlignment="1">
      <alignment horizontal="center" vertical="center"/>
    </xf>
    <xf numFmtId="189" fontId="14" fillId="0" borderId="0" xfId="0" applyNumberFormat="1" applyFont="1" applyAlignment="1">
      <alignment horizontal="right" vertical="center"/>
    </xf>
    <xf numFmtId="189" fontId="14" fillId="0" borderId="0" xfId="0" applyNumberFormat="1" applyFont="1" applyAlignment="1">
      <alignment horizontal="center" vertical="center"/>
    </xf>
    <xf numFmtId="190" fontId="14" fillId="0" borderId="0" xfId="0" applyNumberFormat="1" applyFont="1" applyAlignment="1">
      <alignment horizontal="right" vertical="center"/>
    </xf>
    <xf numFmtId="188" fontId="14" fillId="0" borderId="0" xfId="0" applyNumberFormat="1" applyFont="1" applyAlignment="1">
      <alignment horizontal="right" vertical="center"/>
    </xf>
    <xf numFmtId="188" fontId="14" fillId="0" borderId="0" xfId="0" applyNumberFormat="1" applyFont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27" xfId="0" applyFont="1" applyBorder="1">
      <alignment vertical="center"/>
    </xf>
    <xf numFmtId="188" fontId="6" fillId="0" borderId="0" xfId="0" applyNumberFormat="1" applyFont="1">
      <alignment vertical="center"/>
    </xf>
    <xf numFmtId="183" fontId="4" fillId="0" borderId="27" xfId="0" applyNumberFormat="1" applyFont="1" applyBorder="1" applyAlignment="1">
      <alignment horizontal="left" vertical="center"/>
    </xf>
    <xf numFmtId="193" fontId="4" fillId="0" borderId="23" xfId="0" applyNumberFormat="1" applyFont="1" applyBorder="1">
      <alignment vertical="center"/>
    </xf>
    <xf numFmtId="193" fontId="4" fillId="0" borderId="24" xfId="0" applyNumberFormat="1" applyFont="1" applyBorder="1">
      <alignment vertical="center"/>
    </xf>
    <xf numFmtId="193" fontId="4" fillId="0" borderId="9" xfId="0" applyNumberFormat="1" applyFont="1" applyBorder="1">
      <alignment vertical="center"/>
    </xf>
    <xf numFmtId="0" fontId="5" fillId="0" borderId="7" xfId="0" applyFont="1" applyBorder="1">
      <alignment vertical="center"/>
    </xf>
    <xf numFmtId="181" fontId="4" fillId="0" borderId="27" xfId="0" applyNumberFormat="1" applyFont="1" applyBorder="1">
      <alignment vertical="center"/>
    </xf>
    <xf numFmtId="188" fontId="4" fillId="0" borderId="0" xfId="0" applyNumberFormat="1" applyFont="1">
      <alignment vertical="center"/>
    </xf>
    <xf numFmtId="188" fontId="4" fillId="0" borderId="20" xfId="0" applyNumberFormat="1" applyFont="1" applyBorder="1" applyAlignment="1">
      <alignment horizontal="right" vertical="center"/>
    </xf>
    <xf numFmtId="177" fontId="4" fillId="0" borderId="20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3" fillId="0" borderId="0" xfId="0" applyFont="1">
      <alignment vertical="center"/>
    </xf>
    <xf numFmtId="0" fontId="4" fillId="0" borderId="20" xfId="2" applyFont="1" applyBorder="1" applyAlignment="1">
      <alignment horizontal="right" vertical="center"/>
    </xf>
    <xf numFmtId="181" fontId="9" fillId="0" borderId="20" xfId="0" applyNumberFormat="1" applyFont="1" applyBorder="1" applyAlignment="1">
      <alignment horizontal="center" vertical="center"/>
    </xf>
    <xf numFmtId="0" fontId="4" fillId="0" borderId="23" xfId="2" applyFont="1" applyBorder="1" applyAlignment="1">
      <alignment horizontal="right" vertical="center"/>
    </xf>
    <xf numFmtId="181" fontId="9" fillId="0" borderId="23" xfId="0" applyNumberFormat="1" applyFont="1" applyBorder="1">
      <alignment vertical="center"/>
    </xf>
    <xf numFmtId="0" fontId="4" fillId="0" borderId="24" xfId="2" applyFont="1" applyBorder="1" applyAlignment="1">
      <alignment horizontal="right" vertical="center"/>
    </xf>
    <xf numFmtId="181" fontId="9" fillId="0" borderId="24" xfId="0" applyNumberFormat="1" applyFont="1" applyBorder="1">
      <alignment vertical="center"/>
    </xf>
    <xf numFmtId="181" fontId="4" fillId="0" borderId="9" xfId="0" applyNumberFormat="1" applyFont="1" applyBorder="1">
      <alignment vertical="center"/>
    </xf>
    <xf numFmtId="0" fontId="0" fillId="0" borderId="31" xfId="0" applyBorder="1" applyAlignment="1">
      <alignment horizontal="center" vertical="center"/>
    </xf>
    <xf numFmtId="181" fontId="4" fillId="7" borderId="20" xfId="0" applyNumberFormat="1" applyFont="1" applyFill="1" applyBorder="1" applyAlignment="1">
      <alignment horizontal="center" vertical="center"/>
    </xf>
    <xf numFmtId="183" fontId="4" fillId="7" borderId="20" xfId="0" applyNumberFormat="1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4" fillId="0" borderId="28" xfId="1" applyNumberFormat="1" applyFont="1" applyFill="1" applyBorder="1" applyAlignment="1">
      <alignment horizontal="right" vertical="center"/>
    </xf>
    <xf numFmtId="188" fontId="14" fillId="0" borderId="28" xfId="0" applyNumberFormat="1" applyFont="1" applyBorder="1" applyAlignment="1">
      <alignment horizontal="right" vertical="center"/>
    </xf>
    <xf numFmtId="0" fontId="1" fillId="0" borderId="20" xfId="0" applyFont="1" applyBorder="1">
      <alignment vertical="center"/>
    </xf>
    <xf numFmtId="0" fontId="4" fillId="7" borderId="20" xfId="0" applyFont="1" applyFill="1" applyBorder="1" applyAlignment="1">
      <alignment horizontal="left" vertical="center"/>
    </xf>
    <xf numFmtId="0" fontId="4" fillId="7" borderId="23" xfId="0" applyFont="1" applyFill="1" applyBorder="1" applyAlignment="1">
      <alignment horizontal="right" vertical="center"/>
    </xf>
    <xf numFmtId="0" fontId="4" fillId="7" borderId="24" xfId="0" applyFont="1" applyFill="1" applyBorder="1" applyAlignment="1">
      <alignment horizontal="right" vertical="center"/>
    </xf>
    <xf numFmtId="0" fontId="4" fillId="7" borderId="9" xfId="0" applyFont="1" applyFill="1" applyBorder="1" applyAlignment="1">
      <alignment horizontal="right" vertical="center"/>
    </xf>
    <xf numFmtId="3" fontId="4" fillId="7" borderId="23" xfId="0" applyNumberFormat="1" applyFont="1" applyFill="1" applyBorder="1" applyAlignment="1">
      <alignment horizontal="right" vertical="center"/>
    </xf>
    <xf numFmtId="173" fontId="4" fillId="7" borderId="24" xfId="0" applyNumberFormat="1" applyFont="1" applyFill="1" applyBorder="1" applyAlignment="1">
      <alignment horizontal="right" vertical="center"/>
    </xf>
    <xf numFmtId="172" fontId="4" fillId="7" borderId="24" xfId="0" applyNumberFormat="1" applyFont="1" applyFill="1" applyBorder="1" applyAlignment="1">
      <alignment horizontal="right" vertical="center"/>
    </xf>
    <xf numFmtId="183" fontId="4" fillId="7" borderId="24" xfId="0" applyNumberFormat="1" applyFont="1" applyFill="1" applyBorder="1" applyAlignment="1">
      <alignment horizontal="right" vertical="center"/>
    </xf>
    <xf numFmtId="183" fontId="4" fillId="7" borderId="9" xfId="0" applyNumberFormat="1" applyFont="1" applyFill="1" applyBorder="1" applyAlignment="1">
      <alignment horizontal="right" vertical="center"/>
    </xf>
    <xf numFmtId="190" fontId="14" fillId="0" borderId="9" xfId="0" applyNumberFormat="1" applyFont="1" applyBorder="1" applyAlignment="1">
      <alignment horizontal="right" vertical="center"/>
    </xf>
    <xf numFmtId="1" fontId="5" fillId="0" borderId="23" xfId="3" applyNumberFormat="1" applyFont="1" applyBorder="1">
      <alignment vertical="center"/>
    </xf>
    <xf numFmtId="1" fontId="5" fillId="0" borderId="24" xfId="3" applyNumberFormat="1" applyFont="1" applyBorder="1">
      <alignment vertical="center"/>
    </xf>
    <xf numFmtId="1" fontId="15" fillId="0" borderId="24" xfId="3" applyNumberFormat="1" applyFont="1" applyBorder="1">
      <alignment vertical="center"/>
    </xf>
    <xf numFmtId="175" fontId="22" fillId="0" borderId="0" xfId="0" applyNumberFormat="1" applyFont="1">
      <alignment vertical="center"/>
    </xf>
    <xf numFmtId="0" fontId="0" fillId="0" borderId="36" xfId="0" applyBorder="1">
      <alignment vertical="center"/>
    </xf>
    <xf numFmtId="9" fontId="0" fillId="0" borderId="20" xfId="1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10" fontId="4" fillId="10" borderId="20" xfId="1" applyNumberFormat="1" applyFont="1" applyFill="1" applyBorder="1" applyAlignment="1">
      <alignment vertical="center"/>
    </xf>
    <xf numFmtId="0" fontId="6" fillId="10" borderId="0" xfId="0" applyFont="1" applyFill="1" applyAlignment="1">
      <alignment horizontal="center" vertical="center"/>
    </xf>
    <xf numFmtId="2" fontId="4" fillId="10" borderId="20" xfId="0" applyNumberFormat="1" applyFont="1" applyFill="1" applyBorder="1">
      <alignment vertical="center"/>
    </xf>
    <xf numFmtId="4" fontId="4" fillId="10" borderId="20" xfId="0" applyNumberFormat="1" applyFont="1" applyFill="1" applyBorder="1">
      <alignment vertical="center"/>
    </xf>
    <xf numFmtId="189" fontId="4" fillId="10" borderId="20" xfId="0" applyNumberFormat="1" applyFont="1" applyFill="1" applyBorder="1">
      <alignment vertical="center"/>
    </xf>
    <xf numFmtId="183" fontId="4" fillId="10" borderId="20" xfId="0" applyNumberFormat="1" applyFont="1" applyFill="1" applyBorder="1">
      <alignment vertical="center"/>
    </xf>
    <xf numFmtId="171" fontId="4" fillId="10" borderId="7" xfId="0" applyNumberFormat="1" applyFont="1" applyFill="1" applyBorder="1">
      <alignment vertical="center"/>
    </xf>
    <xf numFmtId="178" fontId="4" fillId="10" borderId="23" xfId="0" applyNumberFormat="1" applyFont="1" applyFill="1" applyBorder="1">
      <alignment vertical="center"/>
    </xf>
    <xf numFmtId="171" fontId="4" fillId="10" borderId="23" xfId="0" applyNumberFormat="1" applyFont="1" applyFill="1" applyBorder="1">
      <alignment vertical="center"/>
    </xf>
    <xf numFmtId="2" fontId="4" fillId="10" borderId="23" xfId="0" applyNumberFormat="1" applyFont="1" applyFill="1" applyBorder="1">
      <alignment vertical="center"/>
    </xf>
    <xf numFmtId="171" fontId="4" fillId="10" borderId="8" xfId="0" applyNumberFormat="1" applyFont="1" applyFill="1" applyBorder="1">
      <alignment vertical="center"/>
    </xf>
    <xf numFmtId="178" fontId="4" fillId="10" borderId="24" xfId="0" applyNumberFormat="1" applyFont="1" applyFill="1" applyBorder="1">
      <alignment vertical="center"/>
    </xf>
    <xf numFmtId="171" fontId="4" fillId="10" borderId="24" xfId="0" applyNumberFormat="1" applyFont="1" applyFill="1" applyBorder="1">
      <alignment vertical="center"/>
    </xf>
    <xf numFmtId="2" fontId="4" fillId="10" borderId="24" xfId="0" applyNumberFormat="1" applyFont="1" applyFill="1" applyBorder="1">
      <alignment vertical="center"/>
    </xf>
    <xf numFmtId="179" fontId="4" fillId="10" borderId="24" xfId="0" applyNumberFormat="1" applyFont="1" applyFill="1" applyBorder="1">
      <alignment vertical="center"/>
    </xf>
    <xf numFmtId="0" fontId="16" fillId="10" borderId="24" xfId="3" applyFont="1" applyFill="1" applyBorder="1">
      <alignment vertical="center"/>
    </xf>
    <xf numFmtId="179" fontId="4" fillId="10" borderId="9" xfId="0" applyNumberFormat="1" applyFont="1" applyFill="1" applyBorder="1">
      <alignment vertical="center"/>
    </xf>
    <xf numFmtId="178" fontId="4" fillId="10" borderId="25" xfId="0" applyNumberFormat="1" applyFont="1" applyFill="1" applyBorder="1">
      <alignment vertical="center"/>
    </xf>
    <xf numFmtId="171" fontId="4" fillId="10" borderId="25" xfId="0" applyNumberFormat="1" applyFont="1" applyFill="1" applyBorder="1">
      <alignment vertical="center"/>
    </xf>
    <xf numFmtId="2" fontId="4" fillId="10" borderId="25" xfId="0" applyNumberFormat="1" applyFont="1" applyFill="1" applyBorder="1">
      <alignment vertical="center"/>
    </xf>
    <xf numFmtId="174" fontId="4" fillId="10" borderId="9" xfId="0" applyNumberFormat="1" applyFont="1" applyFill="1" applyBorder="1">
      <alignment vertical="center"/>
    </xf>
    <xf numFmtId="171" fontId="4" fillId="10" borderId="2" xfId="0" applyNumberFormat="1" applyFont="1" applyFill="1" applyBorder="1">
      <alignment vertical="center"/>
    </xf>
    <xf numFmtId="171" fontId="4" fillId="10" borderId="4" xfId="0" applyNumberFormat="1" applyFont="1" applyFill="1" applyBorder="1">
      <alignment vertical="center"/>
    </xf>
    <xf numFmtId="171" fontId="4" fillId="10" borderId="6" xfId="0" applyNumberFormat="1" applyFont="1" applyFill="1" applyBorder="1">
      <alignment vertical="center"/>
    </xf>
    <xf numFmtId="180" fontId="4" fillId="10" borderId="21" xfId="0" applyNumberFormat="1" applyFont="1" applyFill="1" applyBorder="1">
      <alignment vertical="center"/>
    </xf>
    <xf numFmtId="180" fontId="4" fillId="10" borderId="22" xfId="0" applyNumberFormat="1" applyFont="1" applyFill="1" applyBorder="1">
      <alignment vertical="center"/>
    </xf>
    <xf numFmtId="180" fontId="4" fillId="10" borderId="20" xfId="0" applyNumberFormat="1" applyFont="1" applyFill="1" applyBorder="1">
      <alignment vertical="center"/>
    </xf>
    <xf numFmtId="0" fontId="25" fillId="10" borderId="20" xfId="0" applyFont="1" applyFill="1" applyBorder="1" applyAlignment="1">
      <alignment horizontal="center" vertical="center"/>
    </xf>
    <xf numFmtId="9" fontId="6" fillId="10" borderId="18" xfId="0" applyNumberFormat="1" applyFont="1" applyFill="1" applyBorder="1">
      <alignment vertical="center"/>
    </xf>
    <xf numFmtId="4" fontId="6" fillId="10" borderId="24" xfId="0" applyNumberFormat="1" applyFont="1" applyFill="1" applyBorder="1">
      <alignment vertical="center"/>
    </xf>
    <xf numFmtId="4" fontId="4" fillId="10" borderId="23" xfId="0" applyNumberFormat="1" applyFont="1" applyFill="1" applyBorder="1">
      <alignment vertical="center"/>
    </xf>
    <xf numFmtId="4" fontId="4" fillId="10" borderId="24" xfId="0" applyNumberFormat="1" applyFont="1" applyFill="1" applyBorder="1">
      <alignment vertical="center"/>
    </xf>
    <xf numFmtId="4" fontId="4" fillId="10" borderId="8" xfId="0" applyNumberFormat="1" applyFont="1" applyFill="1" applyBorder="1">
      <alignment vertical="center"/>
    </xf>
    <xf numFmtId="2" fontId="6" fillId="10" borderId="24" xfId="0" applyNumberFormat="1" applyFont="1" applyFill="1" applyBorder="1">
      <alignment vertical="center"/>
    </xf>
    <xf numFmtId="187" fontId="4" fillId="10" borderId="20" xfId="0" applyNumberFormat="1" applyFont="1" applyFill="1" applyBorder="1">
      <alignment vertical="center"/>
    </xf>
    <xf numFmtId="4" fontId="15" fillId="10" borderId="23" xfId="3" applyNumberFormat="1" applyFont="1" applyFill="1" applyBorder="1">
      <alignment vertical="center"/>
    </xf>
    <xf numFmtId="10" fontId="4" fillId="10" borderId="0" xfId="1" applyNumberFormat="1" applyFont="1" applyFill="1" applyBorder="1" applyAlignment="1">
      <alignment vertical="center"/>
    </xf>
    <xf numFmtId="188" fontId="4" fillId="10" borderId="23" xfId="0" applyNumberFormat="1" applyFont="1" applyFill="1" applyBorder="1">
      <alignment vertical="center"/>
    </xf>
    <xf numFmtId="188" fontId="4" fillId="10" borderId="23" xfId="0" applyNumberFormat="1" applyFont="1" applyFill="1" applyBorder="1" applyAlignment="1">
      <alignment horizontal="right" vertical="center"/>
    </xf>
    <xf numFmtId="188" fontId="4" fillId="10" borderId="24" xfId="0" applyNumberFormat="1" applyFont="1" applyFill="1" applyBorder="1">
      <alignment vertical="center"/>
    </xf>
    <xf numFmtId="188" fontId="4" fillId="10" borderId="24" xfId="0" applyNumberFormat="1" applyFont="1" applyFill="1" applyBorder="1" applyAlignment="1">
      <alignment horizontal="right" vertical="center"/>
    </xf>
    <xf numFmtId="188" fontId="4" fillId="10" borderId="9" xfId="0" applyNumberFormat="1" applyFont="1" applyFill="1" applyBorder="1" applyAlignment="1">
      <alignment horizontal="right" vertical="center"/>
    </xf>
    <xf numFmtId="188" fontId="4" fillId="10" borderId="9" xfId="0" quotePrefix="1" applyNumberFormat="1" applyFont="1" applyFill="1" applyBorder="1" applyAlignment="1">
      <alignment horizontal="right" vertical="center" wrapText="1"/>
    </xf>
    <xf numFmtId="191" fontId="4" fillId="10" borderId="24" xfId="0" applyNumberFormat="1" applyFont="1" applyFill="1" applyBorder="1">
      <alignment vertical="center"/>
    </xf>
    <xf numFmtId="4" fontId="4" fillId="10" borderId="9" xfId="0" applyNumberFormat="1" applyFont="1" applyFill="1" applyBorder="1">
      <alignment vertical="center"/>
    </xf>
    <xf numFmtId="188" fontId="4" fillId="10" borderId="20" xfId="0" applyNumberFormat="1" applyFont="1" applyFill="1" applyBorder="1">
      <alignment vertical="center"/>
    </xf>
    <xf numFmtId="183" fontId="5" fillId="10" borderId="23" xfId="0" applyNumberFormat="1" applyFont="1" applyFill="1" applyBorder="1">
      <alignment vertical="center"/>
    </xf>
    <xf numFmtId="180" fontId="4" fillId="10" borderId="9" xfId="0" applyNumberFormat="1" applyFont="1" applyFill="1" applyBorder="1" applyAlignment="1">
      <alignment horizontal="right" vertical="center"/>
    </xf>
    <xf numFmtId="172" fontId="4" fillId="10" borderId="7" xfId="0" applyNumberFormat="1" applyFont="1" applyFill="1" applyBorder="1">
      <alignment vertical="center"/>
    </xf>
    <xf numFmtId="2" fontId="4" fillId="10" borderId="9" xfId="0" applyNumberFormat="1" applyFont="1" applyFill="1" applyBorder="1">
      <alignment vertical="center"/>
    </xf>
    <xf numFmtId="183" fontId="4" fillId="10" borderId="23" xfId="0" applyNumberFormat="1" applyFont="1" applyFill="1" applyBorder="1">
      <alignment vertical="center"/>
    </xf>
    <xf numFmtId="183" fontId="4" fillId="10" borderId="24" xfId="0" applyNumberFormat="1" applyFont="1" applyFill="1" applyBorder="1" applyAlignment="1">
      <alignment horizontal="right" vertical="center"/>
    </xf>
    <xf numFmtId="180" fontId="4" fillId="10" borderId="24" xfId="0" applyNumberFormat="1" applyFont="1" applyFill="1" applyBorder="1" applyAlignment="1">
      <alignment horizontal="right" vertical="center"/>
    </xf>
    <xf numFmtId="183" fontId="4" fillId="10" borderId="9" xfId="0" applyNumberFormat="1" applyFont="1" applyFill="1" applyBorder="1">
      <alignment vertical="center"/>
    </xf>
    <xf numFmtId="174" fontId="0" fillId="10" borderId="0" xfId="0" applyNumberFormat="1" applyFill="1">
      <alignment vertical="center"/>
    </xf>
    <xf numFmtId="188" fontId="4" fillId="10" borderId="24" xfId="0" quotePrefix="1" applyNumberFormat="1" applyFont="1" applyFill="1" applyBorder="1" applyAlignment="1">
      <alignment horizontal="right" vertical="center" wrapText="1"/>
    </xf>
    <xf numFmtId="188" fontId="4" fillId="10" borderId="9" xfId="0" applyNumberFormat="1" applyFont="1" applyFill="1" applyBorder="1">
      <alignment vertical="center"/>
    </xf>
    <xf numFmtId="174" fontId="5" fillId="10" borderId="24" xfId="3" applyNumberFormat="1" applyFont="1" applyFill="1" applyBorder="1">
      <alignment vertical="center"/>
    </xf>
    <xf numFmtId="1" fontId="15" fillId="10" borderId="24" xfId="3" applyNumberFormat="1" applyFont="1" applyFill="1" applyBorder="1">
      <alignment vertical="center"/>
    </xf>
    <xf numFmtId="175" fontId="5" fillId="10" borderId="24" xfId="3" applyNumberFormat="1" applyFont="1" applyFill="1" applyBorder="1">
      <alignment vertical="center"/>
    </xf>
    <xf numFmtId="191" fontId="4" fillId="10" borderId="2" xfId="0" applyNumberFormat="1" applyFont="1" applyFill="1" applyBorder="1">
      <alignment vertical="center"/>
    </xf>
    <xf numFmtId="191" fontId="4" fillId="10" borderId="6" xfId="0" applyNumberFormat="1" applyFont="1" applyFill="1" applyBorder="1">
      <alignment vertical="center"/>
    </xf>
    <xf numFmtId="175" fontId="4" fillId="10" borderId="24" xfId="0" applyNumberFormat="1" applyFont="1" applyFill="1" applyBorder="1">
      <alignment vertical="center"/>
    </xf>
    <xf numFmtId="180" fontId="4" fillId="10" borderId="9" xfId="0" applyNumberFormat="1" applyFont="1" applyFill="1" applyBorder="1">
      <alignment vertical="center"/>
    </xf>
    <xf numFmtId="183" fontId="4" fillId="10" borderId="35" xfId="0" applyNumberFormat="1" applyFont="1" applyFill="1" applyBorder="1">
      <alignment vertical="center"/>
    </xf>
    <xf numFmtId="175" fontId="5" fillId="10" borderId="9" xfId="3" applyNumberFormat="1" applyFont="1" applyFill="1" applyBorder="1">
      <alignment vertical="center"/>
    </xf>
    <xf numFmtId="2" fontId="11" fillId="10" borderId="23" xfId="0" applyNumberFormat="1" applyFont="1" applyFill="1" applyBorder="1">
      <alignment vertical="center"/>
    </xf>
    <xf numFmtId="2" fontId="0" fillId="10" borderId="23" xfId="0" applyNumberFormat="1" applyFill="1" applyBorder="1">
      <alignment vertical="center"/>
    </xf>
    <xf numFmtId="2" fontId="11" fillId="10" borderId="9" xfId="0" applyNumberFormat="1" applyFont="1" applyFill="1" applyBorder="1">
      <alignment vertical="center"/>
    </xf>
    <xf numFmtId="2" fontId="0" fillId="10" borderId="9" xfId="0" applyNumberFormat="1" applyFill="1" applyBorder="1">
      <alignment vertical="center"/>
    </xf>
    <xf numFmtId="0" fontId="0" fillId="10" borderId="20" xfId="0" applyFill="1" applyBorder="1">
      <alignment vertical="center"/>
    </xf>
    <xf numFmtId="175" fontId="0" fillId="10" borderId="20" xfId="0" applyNumberFormat="1" applyFill="1" applyBorder="1">
      <alignment vertical="center"/>
    </xf>
    <xf numFmtId="2" fontId="0" fillId="10" borderId="13" xfId="0" applyNumberFormat="1" applyFill="1" applyBorder="1">
      <alignment vertical="center"/>
    </xf>
    <xf numFmtId="2" fontId="0" fillId="10" borderId="15" xfId="0" applyNumberFormat="1" applyFill="1" applyBorder="1">
      <alignment vertical="center"/>
    </xf>
    <xf numFmtId="2" fontId="0" fillId="10" borderId="20" xfId="0" applyNumberFormat="1" applyFill="1" applyBorder="1">
      <alignment vertical="center"/>
    </xf>
    <xf numFmtId="183" fontId="4" fillId="10" borderId="8" xfId="0" applyNumberFormat="1" applyFont="1" applyFill="1" applyBorder="1">
      <alignment vertical="center"/>
    </xf>
    <xf numFmtId="181" fontId="4" fillId="10" borderId="20" xfId="0" applyNumberFormat="1" applyFont="1" applyFill="1" applyBorder="1">
      <alignment vertical="center"/>
    </xf>
    <xf numFmtId="188" fontId="4" fillId="10" borderId="0" xfId="0" applyNumberFormat="1" applyFont="1" applyFill="1">
      <alignment vertical="center"/>
    </xf>
    <xf numFmtId="2" fontId="0" fillId="10" borderId="26" xfId="0" applyNumberFormat="1" applyFill="1" applyBorder="1">
      <alignment vertical="center"/>
    </xf>
    <xf numFmtId="2" fontId="0" fillId="10" borderId="6" xfId="0" applyNumberFormat="1" applyFill="1" applyBorder="1">
      <alignment vertical="center"/>
    </xf>
  </cellXfs>
  <cellStyles count="4">
    <cellStyle name="Normal" xfId="0" builtinId="0"/>
    <cellStyle name="Percent" xfId="1" builtinId="5"/>
    <cellStyle name="標準_no.4" xfId="2" xr:uid="{00000000-0005-0000-0000-000002000000}"/>
    <cellStyle name="標準_ﾊﾟﾗﾒｰﾀｰ" xfId="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/>
            </a:pPr>
            <a:r>
              <a:rPr lang="en-US" altLang="ja-JP"/>
              <a:t>Heat Load </a:t>
            </a:r>
            <a:endParaRPr lang="ja-JP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SIZE!$D$7:$D$28</c:f>
              <c:strCache>
                <c:ptCount val="22"/>
                <c:pt idx="0">
                  <c:v>F TOP</c:v>
                </c:pt>
                <c:pt idx="1">
                  <c:v>F LEFT</c:v>
                </c:pt>
                <c:pt idx="2">
                  <c:v>F RIGHT</c:v>
                </c:pt>
                <c:pt idx="3">
                  <c:v>F BOTTOM</c:v>
                </c:pt>
                <c:pt idx="4">
                  <c:v>F DOOR</c:v>
                </c:pt>
                <c:pt idx="5">
                  <c:v>F PACKIN </c:v>
                </c:pt>
                <c:pt idx="6">
                  <c:v>F DPCON1(FR-Partition)</c:v>
                </c:pt>
                <c:pt idx="7">
                  <c:v>F DPCON2(F-Front)</c:v>
                </c:pt>
                <c:pt idx="8">
                  <c:v>R TOP</c:v>
                </c:pt>
                <c:pt idx="9">
                  <c:v>R LEFT</c:v>
                </c:pt>
                <c:pt idx="10">
                  <c:v>R RIGHT</c:v>
                </c:pt>
                <c:pt idx="11">
                  <c:v>R BACK</c:v>
                </c:pt>
                <c:pt idx="12">
                  <c:v>R BOTTOM　1</c:v>
                </c:pt>
                <c:pt idx="13">
                  <c:v>R BOTTOM　2</c:v>
                </c:pt>
                <c:pt idx="14">
                  <c:v>R BOTTOM　3</c:v>
                </c:pt>
                <c:pt idx="15">
                  <c:v>R DOOR</c:v>
                </c:pt>
                <c:pt idx="16">
                  <c:v>R PACKIN</c:v>
                </c:pt>
                <c:pt idx="17">
                  <c:v>R DPCON(R-Front)</c:v>
                </c:pt>
                <c:pt idx="18">
                  <c:v>PWB Heat LOAD</c:v>
                </c:pt>
                <c:pt idx="19">
                  <c:v>EVA BACK</c:v>
                </c:pt>
                <c:pt idx="20">
                  <c:v>FAN LOAD (FAN INPUT*0.86*Pr）</c:v>
                </c:pt>
                <c:pt idx="21">
                  <c:v>DEF. HEATER LOAD</c:v>
                </c:pt>
              </c:strCache>
            </c:strRef>
          </c:cat>
          <c:val>
            <c:numRef>
              <c:f>SIZE!$E$7:$E$28</c:f>
              <c:numCache>
                <c:formatCode>#,##0.0000</c:formatCode>
                <c:ptCount val="22"/>
                <c:pt idx="0">
                  <c:v>4.8599298701298697</c:v>
                </c:pt>
                <c:pt idx="1">
                  <c:v>3.4576435347090997</c:v>
                </c:pt>
                <c:pt idx="2">
                  <c:v>3.4576435347090997</c:v>
                </c:pt>
                <c:pt idx="3">
                  <c:v>1.6616437693738373</c:v>
                </c:pt>
                <c:pt idx="4">
                  <c:v>4.3370357142857134</c:v>
                </c:pt>
                <c:pt idx="5">
                  <c:v>4.3344000000000005</c:v>
                </c:pt>
                <c:pt idx="6">
                  <c:v>3.8995521122313104</c:v>
                </c:pt>
                <c:pt idx="7">
                  <c:v>1.3503317709338456</c:v>
                </c:pt>
                <c:pt idx="8">
                  <c:v>-1.6616437693738373</c:v>
                </c:pt>
                <c:pt idx="9">
                  <c:v>6.3852539475853485</c:v>
                </c:pt>
                <c:pt idx="10">
                  <c:v>6.3852539475853485</c:v>
                </c:pt>
                <c:pt idx="11">
                  <c:v>7.0618374578837111</c:v>
                </c:pt>
                <c:pt idx="12">
                  <c:v>2.6391420959020806</c:v>
                </c:pt>
                <c:pt idx="13">
                  <c:v>3.2771621903383625</c:v>
                </c:pt>
                <c:pt idx="14">
                  <c:v>1.6638610364509407</c:v>
                </c:pt>
                <c:pt idx="15">
                  <c:v>8.5667902334430579</c:v>
                </c:pt>
                <c:pt idx="16">
                  <c:v>3.5343000000000004</c:v>
                </c:pt>
                <c:pt idx="17">
                  <c:v>1.553119828881393</c:v>
                </c:pt>
                <c:pt idx="18" formatCode="0.0000">
                  <c:v>0</c:v>
                </c:pt>
                <c:pt idx="19">
                  <c:v>4.3664821381629721</c:v>
                </c:pt>
                <c:pt idx="20">
                  <c:v>1.0665596859608193</c:v>
                </c:pt>
                <c:pt idx="21" formatCode="0.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0-47AD-BE7C-846A54809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322368"/>
        <c:axId val="105323904"/>
      </c:barChart>
      <c:catAx>
        <c:axId val="10532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105323904"/>
        <c:crosses val="autoZero"/>
        <c:auto val="1"/>
        <c:lblAlgn val="ctr"/>
        <c:lblOffset val="100"/>
        <c:noMultiLvlLbl val="0"/>
      </c:catAx>
      <c:valAx>
        <c:axId val="10532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ja-JP"/>
                </a:pPr>
                <a:r>
                  <a:rPr lang="en-US" altLang="ja-JP" sz="1400"/>
                  <a:t>Heat Load kcal/h</a:t>
                </a:r>
                <a:endParaRPr lang="ja-JP" altLang="en-US" sz="1400"/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lang="ja-JP"/>
            </a:pPr>
            <a:endParaRPr lang="en-US"/>
          </a:p>
        </c:txPr>
        <c:crossAx val="105322368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aph1"/>
  <sheetViews>
    <sheetView zoomScale="77" workbookViewId="0"/>
  </sheetViews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1066800</xdr:colOff>
          <xdr:row>0</xdr:row>
          <xdr:rowOff>30480</xdr:rowOff>
        </xdr:from>
        <xdr:to>
          <xdr:col>4</xdr:col>
          <xdr:colOff>0</xdr:colOff>
          <xdr:row>2</xdr:row>
          <xdr:rowOff>106680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2EC81C94-A375-0998-43BF-30A89B7BD0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標準ゴシック"/>
                </a:rPr>
                <a:t>Thermostat</a:t>
              </a:r>
            </a:p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標準ゴシック"/>
                </a:rPr>
                <a:t>ON/OFF condition 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30</xdr:row>
      <xdr:rowOff>38100</xdr:rowOff>
    </xdr:from>
    <xdr:to>
      <xdr:col>7</xdr:col>
      <xdr:colOff>781050</xdr:colOff>
      <xdr:row>47</xdr:row>
      <xdr:rowOff>28575</xdr:rowOff>
    </xdr:to>
    <xdr:grpSp>
      <xdr:nvGrpSpPr>
        <xdr:cNvPr id="224485" name="グループ化 16">
          <a:extLst>
            <a:ext uri="{FF2B5EF4-FFF2-40B4-BE49-F238E27FC236}">
              <a16:creationId xmlns:a16="http://schemas.microsoft.com/office/drawing/2014/main" id="{00000000-0008-0000-0100-0000E56C0300}"/>
            </a:ext>
          </a:extLst>
        </xdr:cNvPr>
        <xdr:cNvGrpSpPr>
          <a:grpSpLocks/>
        </xdr:cNvGrpSpPr>
      </xdr:nvGrpSpPr>
      <xdr:grpSpPr bwMode="auto">
        <a:xfrm>
          <a:off x="6865620" y="4312920"/>
          <a:ext cx="1276350" cy="2367915"/>
          <a:chOff x="6924675" y="4114800"/>
          <a:chExt cx="1771650" cy="3352800"/>
        </a:xfrm>
      </xdr:grpSpPr>
      <xdr:sp macro="" textlink="">
        <xdr:nvSpPr>
          <xdr:cNvPr id="224508" name="正方形/長方形 2">
            <a:extLst>
              <a:ext uri="{FF2B5EF4-FFF2-40B4-BE49-F238E27FC236}">
                <a16:creationId xmlns:a16="http://schemas.microsoft.com/office/drawing/2014/main" id="{00000000-0008-0000-0100-0000FC6C0300}"/>
              </a:ext>
            </a:extLst>
          </xdr:cNvPr>
          <xdr:cNvSpPr>
            <a:spLocks noChangeArrowheads="1"/>
          </xdr:cNvSpPr>
        </xdr:nvSpPr>
        <xdr:spPr bwMode="auto">
          <a:xfrm>
            <a:off x="6924675" y="4591050"/>
            <a:ext cx="1762125" cy="2876550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24509" name="直線コネクタ 6">
            <a:extLst>
              <a:ext uri="{FF2B5EF4-FFF2-40B4-BE49-F238E27FC236}">
                <a16:creationId xmlns:a16="http://schemas.microsoft.com/office/drawing/2014/main" id="{00000000-0008-0000-0100-0000FD6C03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6924675" y="4181475"/>
            <a:ext cx="0" cy="447676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10" name="直線コネクタ 49">
            <a:extLst>
              <a:ext uri="{FF2B5EF4-FFF2-40B4-BE49-F238E27FC236}">
                <a16:creationId xmlns:a16="http://schemas.microsoft.com/office/drawing/2014/main" id="{00000000-0008-0000-0100-0000FE6C03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8686800" y="4152900"/>
            <a:ext cx="0" cy="447676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11" name="直線矢印コネクタ 12">
            <a:extLst>
              <a:ext uri="{FF2B5EF4-FFF2-40B4-BE49-F238E27FC236}">
                <a16:creationId xmlns:a16="http://schemas.microsoft.com/office/drawing/2014/main" id="{00000000-0008-0000-0100-0000FF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934200" y="4324350"/>
            <a:ext cx="1762125" cy="9525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7510682" y="4114800"/>
            <a:ext cx="572379" cy="2988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000"/>
              <a:t>W</a:t>
            </a:r>
            <a:endParaRPr kumimoji="1" lang="ja-JP" altLang="en-US" sz="1000"/>
          </a:p>
        </xdr:txBody>
      </xdr:sp>
      <xdr:sp macro="" textlink="">
        <xdr:nvSpPr>
          <xdr:cNvPr id="224513" name="正方形/長方形 14">
            <a:extLst>
              <a:ext uri="{FF2B5EF4-FFF2-40B4-BE49-F238E27FC236}">
                <a16:creationId xmlns:a16="http://schemas.microsoft.com/office/drawing/2014/main" id="{00000000-0008-0000-0100-0000016D0300}"/>
              </a:ext>
            </a:extLst>
          </xdr:cNvPr>
          <xdr:cNvSpPr>
            <a:spLocks noChangeArrowheads="1"/>
          </xdr:cNvSpPr>
        </xdr:nvSpPr>
        <xdr:spPr bwMode="auto">
          <a:xfrm>
            <a:off x="7077075" y="4752975"/>
            <a:ext cx="1457325" cy="857250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514" name="正方形/長方形 15">
            <a:extLst>
              <a:ext uri="{FF2B5EF4-FFF2-40B4-BE49-F238E27FC236}">
                <a16:creationId xmlns:a16="http://schemas.microsoft.com/office/drawing/2014/main" id="{00000000-0008-0000-0100-0000026D0300}"/>
              </a:ext>
            </a:extLst>
          </xdr:cNvPr>
          <xdr:cNvSpPr>
            <a:spLocks noChangeArrowheads="1"/>
          </xdr:cNvSpPr>
        </xdr:nvSpPr>
        <xdr:spPr bwMode="auto">
          <a:xfrm>
            <a:off x="7058025" y="5743575"/>
            <a:ext cx="1524000" cy="15525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788193</xdr:colOff>
      <xdr:row>30</xdr:row>
      <xdr:rowOff>57150</xdr:rowOff>
    </xdr:from>
    <xdr:to>
      <xdr:col>11</xdr:col>
      <xdr:colOff>28574</xdr:colOff>
      <xdr:row>49</xdr:row>
      <xdr:rowOff>47625</xdr:rowOff>
    </xdr:to>
    <xdr:grpSp>
      <xdr:nvGrpSpPr>
        <xdr:cNvPr id="224484" name="グループ化 17">
          <a:extLst>
            <a:ext uri="{FF2B5EF4-FFF2-40B4-BE49-F238E27FC236}">
              <a16:creationId xmlns:a16="http://schemas.microsoft.com/office/drawing/2014/main" id="{00000000-0008-0000-0100-0000E46C0300}"/>
            </a:ext>
          </a:extLst>
        </xdr:cNvPr>
        <xdr:cNvGrpSpPr>
          <a:grpSpLocks/>
        </xdr:cNvGrpSpPr>
      </xdr:nvGrpSpPr>
      <xdr:grpSpPr bwMode="auto">
        <a:xfrm>
          <a:off x="8149113" y="4331970"/>
          <a:ext cx="2326481" cy="2642235"/>
          <a:chOff x="9505950" y="4038600"/>
          <a:chExt cx="2847975" cy="3838575"/>
        </a:xfrm>
      </xdr:grpSpPr>
      <xdr:grpSp>
        <xdr:nvGrpSpPr>
          <xdr:cNvPr id="224515" name="グループ化 1">
            <a:extLst>
              <a:ext uri="{FF2B5EF4-FFF2-40B4-BE49-F238E27FC236}">
                <a16:creationId xmlns:a16="http://schemas.microsoft.com/office/drawing/2014/main" id="{00000000-0008-0000-0100-0000036D0300}"/>
              </a:ext>
            </a:extLst>
          </xdr:cNvPr>
          <xdr:cNvGrpSpPr>
            <a:grpSpLocks/>
          </xdr:cNvGrpSpPr>
        </xdr:nvGrpSpPr>
        <xdr:grpSpPr bwMode="auto">
          <a:xfrm>
            <a:off x="9505950" y="4038600"/>
            <a:ext cx="2847975" cy="3838575"/>
            <a:chOff x="6762750" y="3971925"/>
            <a:chExt cx="2847975" cy="3838575"/>
          </a:xfrm>
        </xdr:grpSpPr>
        <xdr:grpSp>
          <xdr:nvGrpSpPr>
            <xdr:cNvPr id="224518" name="Group 2">
              <a:extLst>
                <a:ext uri="{FF2B5EF4-FFF2-40B4-BE49-F238E27FC236}">
                  <a16:creationId xmlns:a16="http://schemas.microsoft.com/office/drawing/2014/main" id="{00000000-0008-0000-0100-0000066D03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762750" y="3971925"/>
              <a:ext cx="2847975" cy="3838575"/>
              <a:chOff x="724" y="392"/>
              <a:chExt cx="299" cy="402"/>
            </a:xfrm>
          </xdr:grpSpPr>
          <xdr:sp macro="" textlink="">
            <xdr:nvSpPr>
              <xdr:cNvPr id="224522" name="Rectangle 3">
                <a:extLst>
                  <a:ext uri="{FF2B5EF4-FFF2-40B4-BE49-F238E27FC236}">
                    <a16:creationId xmlns:a16="http://schemas.microsoft.com/office/drawing/2014/main" id="{00000000-0008-0000-0100-00000A6D03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20" y="446"/>
                <a:ext cx="163" cy="303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224523" name="Line 4">
                <a:extLst>
                  <a:ext uri="{FF2B5EF4-FFF2-40B4-BE49-F238E27FC236}">
                    <a16:creationId xmlns:a16="http://schemas.microsoft.com/office/drawing/2014/main" id="{00000000-0008-0000-0100-00000B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80" y="392"/>
                <a:ext cx="1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24" name="Line 5">
                <a:extLst>
                  <a:ext uri="{FF2B5EF4-FFF2-40B4-BE49-F238E27FC236}">
                    <a16:creationId xmlns:a16="http://schemas.microsoft.com/office/drawing/2014/main" id="{00000000-0008-0000-0100-00000C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820" y="395"/>
                <a:ext cx="1" cy="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25" name="Line 6">
                <a:extLst>
                  <a:ext uri="{FF2B5EF4-FFF2-40B4-BE49-F238E27FC236}">
                    <a16:creationId xmlns:a16="http://schemas.microsoft.com/office/drawing/2014/main" id="{00000000-0008-0000-0100-00000D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821" y="418"/>
                <a:ext cx="16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31" name="Text Box 7">
                <a:extLst>
                  <a:ext uri="{FF2B5EF4-FFF2-40B4-BE49-F238E27FC236}">
                    <a16:creationId xmlns:a16="http://schemas.microsoft.com/office/drawing/2014/main" id="{00000000-0008-0000-0100-000007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870" y="392"/>
                <a:ext cx="40" cy="2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D</a:t>
                </a:r>
              </a:p>
            </xdr:txBody>
          </xdr:sp>
          <xdr:sp macro="" textlink="">
            <xdr:nvSpPr>
              <xdr:cNvPr id="224527" name="Line 8">
                <a:extLst>
                  <a:ext uri="{FF2B5EF4-FFF2-40B4-BE49-F238E27FC236}">
                    <a16:creationId xmlns:a16="http://schemas.microsoft.com/office/drawing/2014/main" id="{00000000-0008-0000-0100-00000F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734" y="447"/>
                <a:ext cx="8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28" name="Rectangle 9">
                <a:extLst>
                  <a:ext uri="{FF2B5EF4-FFF2-40B4-BE49-F238E27FC236}">
                    <a16:creationId xmlns:a16="http://schemas.microsoft.com/office/drawing/2014/main" id="{00000000-0008-0000-0100-0000106D03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19" y="465"/>
                <a:ext cx="130" cy="85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224529" name="Line 10">
                <a:extLst>
                  <a:ext uri="{FF2B5EF4-FFF2-40B4-BE49-F238E27FC236}">
                    <a16:creationId xmlns:a16="http://schemas.microsoft.com/office/drawing/2014/main" id="{00000000-0008-0000-0100-000011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819" y="576"/>
                <a:ext cx="13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0" name="Line 11">
                <a:extLst>
                  <a:ext uri="{FF2B5EF4-FFF2-40B4-BE49-F238E27FC236}">
                    <a16:creationId xmlns:a16="http://schemas.microsoft.com/office/drawing/2014/main" id="{00000000-0008-0000-0100-000012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59" y="577"/>
                <a:ext cx="2" cy="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1" name="Line 12">
                <a:extLst>
                  <a:ext uri="{FF2B5EF4-FFF2-40B4-BE49-F238E27FC236}">
                    <a16:creationId xmlns:a16="http://schemas.microsoft.com/office/drawing/2014/main" id="{00000000-0008-0000-0100-000013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923" y="689"/>
                <a:ext cx="61" cy="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2" name="Line 13">
                <a:extLst>
                  <a:ext uri="{FF2B5EF4-FFF2-40B4-BE49-F238E27FC236}">
                    <a16:creationId xmlns:a16="http://schemas.microsoft.com/office/drawing/2014/main" id="{00000000-0008-0000-0100-000014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917" y="690"/>
                <a:ext cx="6" cy="5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3" name="Line 14">
                <a:extLst>
                  <a:ext uri="{FF2B5EF4-FFF2-40B4-BE49-F238E27FC236}">
                    <a16:creationId xmlns:a16="http://schemas.microsoft.com/office/drawing/2014/main" id="{00000000-0008-0000-0100-000015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819" y="731"/>
                <a:ext cx="74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4" name="Line 15">
                <a:extLst>
                  <a:ext uri="{FF2B5EF4-FFF2-40B4-BE49-F238E27FC236}">
                    <a16:creationId xmlns:a16="http://schemas.microsoft.com/office/drawing/2014/main" id="{00000000-0008-0000-0100-000016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899" y="669"/>
                <a:ext cx="62" cy="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5" name="Line 16">
                <a:extLst>
                  <a:ext uri="{FF2B5EF4-FFF2-40B4-BE49-F238E27FC236}">
                    <a16:creationId xmlns:a16="http://schemas.microsoft.com/office/drawing/2014/main" id="{00000000-0008-0000-0100-000017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892" y="670"/>
                <a:ext cx="8" cy="6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6" name="Line 17">
                <a:extLst>
                  <a:ext uri="{FF2B5EF4-FFF2-40B4-BE49-F238E27FC236}">
                    <a16:creationId xmlns:a16="http://schemas.microsoft.com/office/drawing/2014/main" id="{00000000-0008-0000-0100-000018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733" y="749"/>
                <a:ext cx="90" cy="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37" name="Line 18">
                <a:extLst>
                  <a:ext uri="{FF2B5EF4-FFF2-40B4-BE49-F238E27FC236}">
                    <a16:creationId xmlns:a16="http://schemas.microsoft.com/office/drawing/2014/main" id="{00000000-0008-0000-0100-000019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754" y="446"/>
                <a:ext cx="1" cy="30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43" name="Text Box 19">
                <a:extLst>
                  <a:ext uri="{FF2B5EF4-FFF2-40B4-BE49-F238E27FC236}">
                    <a16:creationId xmlns:a16="http://schemas.microsoft.com/office/drawing/2014/main" id="{00000000-0008-0000-0100-000013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24" y="566"/>
                <a:ext cx="39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H</a:t>
                </a:r>
              </a:p>
            </xdr:txBody>
          </xdr:sp>
          <xdr:sp macro="" textlink="">
            <xdr:nvSpPr>
              <xdr:cNvPr id="224539" name="Line 20">
                <a:extLst>
                  <a:ext uri="{FF2B5EF4-FFF2-40B4-BE49-F238E27FC236}">
                    <a16:creationId xmlns:a16="http://schemas.microsoft.com/office/drawing/2014/main" id="{00000000-0008-0000-0100-00001B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 flipV="1">
                <a:off x="770" y="563"/>
                <a:ext cx="51" cy="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40" name="Line 21">
                <a:extLst>
                  <a:ext uri="{FF2B5EF4-FFF2-40B4-BE49-F238E27FC236}">
                    <a16:creationId xmlns:a16="http://schemas.microsoft.com/office/drawing/2014/main" id="{00000000-0008-0000-0100-00001C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90" y="564"/>
                <a:ext cx="0" cy="18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46" name="Text Box 22">
                <a:extLst>
                  <a:ext uri="{FF2B5EF4-FFF2-40B4-BE49-F238E27FC236}">
                    <a16:creationId xmlns:a16="http://schemas.microsoft.com/office/drawing/2014/main" id="{00000000-0008-0000-0100-000016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60" y="633"/>
                <a:ext cx="39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Hr</a:t>
                </a:r>
              </a:p>
            </xdr:txBody>
          </xdr:sp>
          <xdr:sp macro="" textlink="">
            <xdr:nvSpPr>
              <xdr:cNvPr id="224542" name="Line 23">
                <a:extLst>
                  <a:ext uri="{FF2B5EF4-FFF2-40B4-BE49-F238E27FC236}">
                    <a16:creationId xmlns:a16="http://schemas.microsoft.com/office/drawing/2014/main" id="{00000000-0008-0000-0100-00001E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90" y="449"/>
                <a:ext cx="0" cy="11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48" name="Text Box 24">
                <a:extLst>
                  <a:ext uri="{FF2B5EF4-FFF2-40B4-BE49-F238E27FC236}">
                    <a16:creationId xmlns:a16="http://schemas.microsoft.com/office/drawing/2014/main" id="{00000000-0008-0000-0100-000018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62" y="498"/>
                <a:ext cx="40" cy="2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Hf</a:t>
                </a:r>
              </a:p>
            </xdr:txBody>
          </xdr:sp>
          <xdr:sp macro="" textlink="">
            <xdr:nvSpPr>
              <xdr:cNvPr id="224544" name="Line 25">
                <a:extLst>
                  <a:ext uri="{FF2B5EF4-FFF2-40B4-BE49-F238E27FC236}">
                    <a16:creationId xmlns:a16="http://schemas.microsoft.com/office/drawing/2014/main" id="{00000000-0008-0000-0100-000020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85" y="689"/>
                <a:ext cx="3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45" name="Line 26">
                <a:extLst>
                  <a:ext uri="{FF2B5EF4-FFF2-40B4-BE49-F238E27FC236}">
                    <a16:creationId xmlns:a16="http://schemas.microsoft.com/office/drawing/2014/main" id="{00000000-0008-0000-0100-000021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86" y="749"/>
                <a:ext cx="3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46" name="Line 27">
                <a:extLst>
                  <a:ext uri="{FF2B5EF4-FFF2-40B4-BE49-F238E27FC236}">
                    <a16:creationId xmlns:a16="http://schemas.microsoft.com/office/drawing/2014/main" id="{00000000-0008-0000-0100-000022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997" y="690"/>
                <a:ext cx="1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52" name="Text Box 28">
                <a:extLst>
                  <a:ext uri="{FF2B5EF4-FFF2-40B4-BE49-F238E27FC236}">
                    <a16:creationId xmlns:a16="http://schemas.microsoft.com/office/drawing/2014/main" id="{00000000-0008-0000-0100-00001C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94" y="707"/>
                <a:ext cx="29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Hb</a:t>
                </a:r>
              </a:p>
            </xdr:txBody>
          </xdr:sp>
          <xdr:sp macro="" textlink="">
            <xdr:nvSpPr>
              <xdr:cNvPr id="224548" name="Line 29">
                <a:extLst>
                  <a:ext uri="{FF2B5EF4-FFF2-40B4-BE49-F238E27FC236}">
                    <a16:creationId xmlns:a16="http://schemas.microsoft.com/office/drawing/2014/main" id="{00000000-0008-0000-0100-000024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84" y="749"/>
                <a:ext cx="0" cy="4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49" name="Line 30">
                <a:extLst>
                  <a:ext uri="{FF2B5EF4-FFF2-40B4-BE49-F238E27FC236}">
                    <a16:creationId xmlns:a16="http://schemas.microsoft.com/office/drawing/2014/main" id="{00000000-0008-0000-0100-000025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24" y="691"/>
                <a:ext cx="0" cy="8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50" name="Line 31">
                <a:extLst>
                  <a:ext uri="{FF2B5EF4-FFF2-40B4-BE49-F238E27FC236}">
                    <a16:creationId xmlns:a16="http://schemas.microsoft.com/office/drawing/2014/main" id="{00000000-0008-0000-0100-000026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917" y="751"/>
                <a:ext cx="0" cy="4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24551" name="Line 32">
                <a:extLst>
                  <a:ext uri="{FF2B5EF4-FFF2-40B4-BE49-F238E27FC236}">
                    <a16:creationId xmlns:a16="http://schemas.microsoft.com/office/drawing/2014/main" id="{00000000-0008-0000-0100-000027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25" y="767"/>
                <a:ext cx="5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57" name="Text Box 33">
                <a:extLst>
                  <a:ext uri="{FF2B5EF4-FFF2-40B4-BE49-F238E27FC236}">
                    <a16:creationId xmlns:a16="http://schemas.microsoft.com/office/drawing/2014/main" id="{00000000-0008-0000-0100-000021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34" y="748"/>
                <a:ext cx="40" cy="2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Db1</a:t>
                </a:r>
              </a:p>
            </xdr:txBody>
          </xdr:sp>
          <xdr:sp macro="" textlink="">
            <xdr:nvSpPr>
              <xdr:cNvPr id="224553" name="Line 34">
                <a:extLst>
                  <a:ext uri="{FF2B5EF4-FFF2-40B4-BE49-F238E27FC236}">
                    <a16:creationId xmlns:a16="http://schemas.microsoft.com/office/drawing/2014/main" id="{00000000-0008-0000-0100-0000296D03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19" y="789"/>
                <a:ext cx="5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59" name="Text Box 35">
                <a:extLst>
                  <a:ext uri="{FF2B5EF4-FFF2-40B4-BE49-F238E27FC236}">
                    <a16:creationId xmlns:a16="http://schemas.microsoft.com/office/drawing/2014/main" id="{00000000-0008-0000-0100-00002304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32" y="772"/>
                <a:ext cx="39" cy="2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18288" rIns="27432" bIns="18288" anchor="ctr" upright="1"/>
              <a:lstStyle/>
              <a:p>
                <a:pPr algn="ctr" rtl="0">
                  <a:defRPr sz="1000"/>
                </a:pPr>
                <a:r>
                  <a:rPr lang="en-US" altLang="ja-JP" sz="900" b="0" i="0" u="none" strike="noStrike" baseline="0">
                    <a:solidFill>
                      <a:srgbClr val="000000"/>
                    </a:solidFill>
                    <a:latin typeface="標準ゴシック"/>
                    <a:ea typeface="標準ゴシック"/>
                  </a:rPr>
                  <a:t>Db2</a:t>
                </a:r>
              </a:p>
            </xdr:txBody>
          </xdr:sp>
        </xdr:grpSp>
        <xdr:sp macro="" textlink="">
          <xdr:nvSpPr>
            <xdr:cNvPr id="224519" name="Line 50">
              <a:extLst>
                <a:ext uri="{FF2B5EF4-FFF2-40B4-BE49-F238E27FC236}">
                  <a16:creationId xmlns:a16="http://schemas.microsoft.com/office/drawing/2014/main" id="{00000000-0008-0000-0100-0000076D03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2500" y="4629150"/>
              <a:ext cx="0" cy="82867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24520" name="Line 51">
              <a:extLst>
                <a:ext uri="{FF2B5EF4-FFF2-40B4-BE49-F238E27FC236}">
                  <a16:creationId xmlns:a16="http://schemas.microsoft.com/office/drawing/2014/main" id="{00000000-0008-0000-0100-0000086D03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82025" y="5067300"/>
              <a:ext cx="3714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med" len="med"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6" name="Text Box 52">
              <a:extLst>
                <a:ext uri="{FF2B5EF4-FFF2-40B4-BE49-F238E27FC236}">
                  <a16:creationId xmlns:a16="http://schemas.microsoft.com/office/drawing/2014/main" id="{00000000-0008-0000-0100-00003404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07425" y="4851598"/>
              <a:ext cx="266700" cy="15994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標準ゴシック"/>
                  <a:ea typeface="標準ゴシック"/>
                </a:rPr>
                <a:t>85</a:t>
              </a:r>
            </a:p>
          </xdr:txBody>
        </xdr:sp>
      </xdr:grpSp>
      <xdr:sp macro="" textlink="">
        <xdr:nvSpPr>
          <xdr:cNvPr id="224516" name="正方形/長方形 3">
            <a:extLst>
              <a:ext uri="{FF2B5EF4-FFF2-40B4-BE49-F238E27FC236}">
                <a16:creationId xmlns:a16="http://schemas.microsoft.com/office/drawing/2014/main" id="{00000000-0008-0000-0100-0000046D0300}"/>
              </a:ext>
            </a:extLst>
          </xdr:cNvPr>
          <xdr:cNvSpPr>
            <a:spLocks noChangeArrowheads="1"/>
          </xdr:cNvSpPr>
        </xdr:nvSpPr>
        <xdr:spPr bwMode="auto">
          <a:xfrm>
            <a:off x="10267950" y="4572000"/>
            <a:ext cx="114300" cy="10572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517" name="正方形/長方形 4">
            <a:extLst>
              <a:ext uri="{FF2B5EF4-FFF2-40B4-BE49-F238E27FC236}">
                <a16:creationId xmlns:a16="http://schemas.microsoft.com/office/drawing/2014/main" id="{00000000-0008-0000-0100-0000056D0300}"/>
              </a:ext>
            </a:extLst>
          </xdr:cNvPr>
          <xdr:cNvSpPr>
            <a:spLocks noChangeArrowheads="1"/>
          </xdr:cNvSpPr>
        </xdr:nvSpPr>
        <xdr:spPr bwMode="auto">
          <a:xfrm>
            <a:off x="10267950" y="5734050"/>
            <a:ext cx="123825" cy="1714500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57150</xdr:colOff>
      <xdr:row>46</xdr:row>
      <xdr:rowOff>0</xdr:rowOff>
    </xdr:from>
    <xdr:to>
      <xdr:col>2</xdr:col>
      <xdr:colOff>419100</xdr:colOff>
      <xdr:row>58</xdr:row>
      <xdr:rowOff>104775</xdr:rowOff>
    </xdr:to>
    <xdr:grpSp>
      <xdr:nvGrpSpPr>
        <xdr:cNvPr id="224486" name="グループ化 1">
          <a:extLst>
            <a:ext uri="{FF2B5EF4-FFF2-40B4-BE49-F238E27FC236}">
              <a16:creationId xmlns:a16="http://schemas.microsoft.com/office/drawing/2014/main" id="{00000000-0008-0000-0100-0000E66C0300}"/>
            </a:ext>
          </a:extLst>
        </xdr:cNvPr>
        <xdr:cNvGrpSpPr>
          <a:grpSpLocks/>
        </xdr:cNvGrpSpPr>
      </xdr:nvGrpSpPr>
      <xdr:grpSpPr bwMode="auto">
        <a:xfrm>
          <a:off x="57150" y="6515100"/>
          <a:ext cx="2815590" cy="1750695"/>
          <a:chOff x="66675" y="5629275"/>
          <a:chExt cx="2667000" cy="1819275"/>
        </a:xfrm>
      </xdr:grpSpPr>
      <xdr:sp macro="" textlink="">
        <xdr:nvSpPr>
          <xdr:cNvPr id="224490" name="正方形/長方形 1">
            <a:extLst>
              <a:ext uri="{FF2B5EF4-FFF2-40B4-BE49-F238E27FC236}">
                <a16:creationId xmlns:a16="http://schemas.microsoft.com/office/drawing/2014/main" id="{00000000-0008-0000-0100-0000EA6C0300}"/>
              </a:ext>
            </a:extLst>
          </xdr:cNvPr>
          <xdr:cNvSpPr>
            <a:spLocks noChangeArrowheads="1"/>
          </xdr:cNvSpPr>
        </xdr:nvSpPr>
        <xdr:spPr bwMode="auto">
          <a:xfrm>
            <a:off x="304800" y="5629275"/>
            <a:ext cx="1762125" cy="1400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491" name="正方形/長方形 2">
            <a:extLst>
              <a:ext uri="{FF2B5EF4-FFF2-40B4-BE49-F238E27FC236}">
                <a16:creationId xmlns:a16="http://schemas.microsoft.com/office/drawing/2014/main" id="{00000000-0008-0000-0100-0000EB6C0300}"/>
              </a:ext>
            </a:extLst>
          </xdr:cNvPr>
          <xdr:cNvSpPr>
            <a:spLocks noChangeArrowheads="1"/>
          </xdr:cNvSpPr>
        </xdr:nvSpPr>
        <xdr:spPr bwMode="auto">
          <a:xfrm>
            <a:off x="409575" y="5715000"/>
            <a:ext cx="1590675" cy="1238250"/>
          </a:xfrm>
          <a:prstGeom prst="rect">
            <a:avLst/>
          </a:prstGeom>
          <a:solidFill>
            <a:srgbClr val="4F81BD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4492" name="正方形/長方形 3">
            <a:extLst>
              <a:ext uri="{FF2B5EF4-FFF2-40B4-BE49-F238E27FC236}">
                <a16:creationId xmlns:a16="http://schemas.microsoft.com/office/drawing/2014/main" id="{00000000-0008-0000-0100-0000EC6C0300}"/>
              </a:ext>
            </a:extLst>
          </xdr:cNvPr>
          <xdr:cNvSpPr>
            <a:spLocks noChangeArrowheads="1"/>
          </xdr:cNvSpPr>
        </xdr:nvSpPr>
        <xdr:spPr bwMode="auto">
          <a:xfrm>
            <a:off x="504825" y="5819775"/>
            <a:ext cx="1381125" cy="1019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24493" name="直線コネクタ 5">
            <a:extLst>
              <a:ext uri="{FF2B5EF4-FFF2-40B4-BE49-F238E27FC236}">
                <a16:creationId xmlns:a16="http://schemas.microsoft.com/office/drawing/2014/main" id="{00000000-0008-0000-0100-0000ED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57200" y="6734175"/>
            <a:ext cx="0" cy="695325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494" name="直線コネクタ 7">
            <a:extLst>
              <a:ext uri="{FF2B5EF4-FFF2-40B4-BE49-F238E27FC236}">
                <a16:creationId xmlns:a16="http://schemas.microsoft.com/office/drawing/2014/main" id="{00000000-0008-0000-0100-0000EE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04800" y="6724650"/>
            <a:ext cx="0" cy="714375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495" name="直線矢印コネクタ 9">
            <a:extLst>
              <a:ext uri="{FF2B5EF4-FFF2-40B4-BE49-F238E27FC236}">
                <a16:creationId xmlns:a16="http://schemas.microsoft.com/office/drawing/2014/main" id="{00000000-0008-0000-0100-0000EF6C03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457200" y="7315200"/>
            <a:ext cx="247650" cy="9525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496" name="直線矢印コネクタ 11">
            <a:extLst>
              <a:ext uri="{FF2B5EF4-FFF2-40B4-BE49-F238E27FC236}">
                <a16:creationId xmlns:a16="http://schemas.microsoft.com/office/drawing/2014/main" id="{00000000-0008-0000-0100-0000F0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6675" y="7315200"/>
            <a:ext cx="238125" cy="9525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666750" y="7219950"/>
            <a:ext cx="36195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  <xdr:cxnSp macro="">
        <xdr:nvCxnSpPr>
          <xdr:cNvPr id="224498" name="直線コネクタ 15">
            <a:extLst>
              <a:ext uri="{FF2B5EF4-FFF2-40B4-BE49-F238E27FC236}">
                <a16:creationId xmlns:a16="http://schemas.microsoft.com/office/drawing/2014/main" id="{00000000-0008-0000-0100-0000F2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14525" y="6905625"/>
            <a:ext cx="476250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499" name="直線コネクタ 18">
            <a:extLst>
              <a:ext uri="{FF2B5EF4-FFF2-40B4-BE49-F238E27FC236}">
                <a16:creationId xmlns:a16="http://schemas.microsoft.com/office/drawing/2014/main" id="{00000000-0008-0000-0100-0000F3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1175" y="7029450"/>
            <a:ext cx="590550" cy="9525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0" name="直線矢印コネクタ 20">
            <a:extLst>
              <a:ext uri="{FF2B5EF4-FFF2-40B4-BE49-F238E27FC236}">
                <a16:creationId xmlns:a16="http://schemas.microsoft.com/office/drawing/2014/main" id="{00000000-0008-0000-0100-0000F46C03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2247900" y="7048500"/>
            <a:ext cx="9525" cy="304800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1" name="直線矢印コネクタ 22">
            <a:extLst>
              <a:ext uri="{FF2B5EF4-FFF2-40B4-BE49-F238E27FC236}">
                <a16:creationId xmlns:a16="http://schemas.microsoft.com/office/drawing/2014/main" id="{00000000-0008-0000-0100-0000F5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266950" y="6696075"/>
            <a:ext cx="9525" cy="209550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 txBox="1"/>
        </xdr:nvSpPr>
        <xdr:spPr>
          <a:xfrm>
            <a:off x="2371725" y="6867525"/>
            <a:ext cx="36195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  <xdr:cxnSp macro="">
        <xdr:nvCxnSpPr>
          <xdr:cNvPr id="224503" name="直線コネクタ 24">
            <a:extLst>
              <a:ext uri="{FF2B5EF4-FFF2-40B4-BE49-F238E27FC236}">
                <a16:creationId xmlns:a16="http://schemas.microsoft.com/office/drawing/2014/main" id="{00000000-0008-0000-0100-0000F76C03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466725" y="6886575"/>
            <a:ext cx="1419225" cy="19050"/>
          </a:xfrm>
          <a:prstGeom prst="line">
            <a:avLst/>
          </a:prstGeom>
          <a:noFill/>
          <a:ln w="9525" algn="ctr">
            <a:solidFill>
              <a:srgbClr val="000000"/>
            </a:solidFill>
            <a:prstDash val="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4" name="直線コネクタ 75">
            <a:extLst>
              <a:ext uri="{FF2B5EF4-FFF2-40B4-BE49-F238E27FC236}">
                <a16:creationId xmlns:a16="http://schemas.microsoft.com/office/drawing/2014/main" id="{00000000-0008-0000-0100-0000F8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57200" y="5772150"/>
            <a:ext cx="0" cy="1085850"/>
          </a:xfrm>
          <a:prstGeom prst="line">
            <a:avLst/>
          </a:prstGeom>
          <a:noFill/>
          <a:ln w="9525" algn="ctr">
            <a:solidFill>
              <a:srgbClr val="000000"/>
            </a:solidFill>
            <a:prstDash val="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5" name="直線コネクタ 77">
            <a:extLst>
              <a:ext uri="{FF2B5EF4-FFF2-40B4-BE49-F238E27FC236}">
                <a16:creationId xmlns:a16="http://schemas.microsoft.com/office/drawing/2014/main" id="{00000000-0008-0000-0100-0000F96C03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495300" y="5762625"/>
            <a:ext cx="1419225" cy="19050"/>
          </a:xfrm>
          <a:prstGeom prst="line">
            <a:avLst/>
          </a:prstGeom>
          <a:noFill/>
          <a:ln w="9525" algn="ctr">
            <a:solidFill>
              <a:srgbClr val="000000"/>
            </a:solidFill>
            <a:prstDash val="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6" name="直線コネクタ 78">
            <a:extLst>
              <a:ext uri="{FF2B5EF4-FFF2-40B4-BE49-F238E27FC236}">
                <a16:creationId xmlns:a16="http://schemas.microsoft.com/office/drawing/2014/main" id="{00000000-0008-0000-0100-0000FA6C03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43100" y="5791200"/>
            <a:ext cx="0" cy="1085850"/>
          </a:xfrm>
          <a:prstGeom prst="line">
            <a:avLst/>
          </a:prstGeom>
          <a:noFill/>
          <a:ln w="9525" algn="ctr">
            <a:solidFill>
              <a:srgbClr val="000000"/>
            </a:solidFill>
            <a:prstDash val="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4507" name="直線矢印コネクタ 79">
            <a:extLst>
              <a:ext uri="{FF2B5EF4-FFF2-40B4-BE49-F238E27FC236}">
                <a16:creationId xmlns:a16="http://schemas.microsoft.com/office/drawing/2014/main" id="{00000000-0008-0000-0100-0000FB6C03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1257300" y="6934200"/>
            <a:ext cx="257175" cy="333375"/>
          </a:xfrm>
          <a:prstGeom prst="straightConnector1">
            <a:avLst/>
          </a:prstGeom>
          <a:noFill/>
          <a:ln w="9525" algn="ctr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9</xdr:col>
      <xdr:colOff>9525</xdr:colOff>
      <xdr:row>42</xdr:row>
      <xdr:rowOff>133350</xdr:rowOff>
    </xdr:from>
    <xdr:to>
      <xdr:col>10</xdr:col>
      <xdr:colOff>171449</xdr:colOff>
      <xdr:row>47</xdr:row>
      <xdr:rowOff>85725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9062085" y="6099810"/>
          <a:ext cx="984884" cy="638175"/>
          <a:chOff x="8477250" y="5991225"/>
          <a:chExt cx="933449" cy="666750"/>
        </a:xfrm>
      </xdr:grpSpPr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 txBox="1"/>
        </xdr:nvSpPr>
        <xdr:spPr>
          <a:xfrm>
            <a:off x="9096374" y="5991225"/>
            <a:ext cx="31432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 txBox="1"/>
        </xdr:nvSpPr>
        <xdr:spPr>
          <a:xfrm>
            <a:off x="8867775" y="6191250"/>
            <a:ext cx="31432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2</a:t>
            </a:r>
            <a:endParaRPr kumimoji="1" lang="ja-JP" altLang="en-US" sz="1100"/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 txBox="1"/>
        </xdr:nvSpPr>
        <xdr:spPr>
          <a:xfrm>
            <a:off x="8477250" y="6419850"/>
            <a:ext cx="31432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3</a:t>
            </a:r>
            <a:endParaRPr kumimoji="1" lang="ja-JP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338" cy="6073734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63"/>
  <sheetViews>
    <sheetView tabSelected="1" topLeftCell="A20" zoomScale="90" zoomScaleNormal="90" workbookViewId="0">
      <selection activeCell="D46" sqref="D46"/>
    </sheetView>
  </sheetViews>
  <sheetFormatPr defaultColWidth="9.375" defaultRowHeight="10.8"/>
  <cols>
    <col min="1" max="1" width="40.125" style="2" customWidth="1"/>
    <col min="2" max="2" width="13.125" style="2" customWidth="1"/>
    <col min="3" max="3" width="6.625" style="2" customWidth="1"/>
    <col min="4" max="4" width="43.375" style="2" customWidth="1"/>
    <col min="5" max="5" width="10.125" style="2" customWidth="1"/>
    <col min="6" max="6" width="9" style="2" customWidth="1"/>
    <col min="7" max="7" width="19.625" style="2" customWidth="1"/>
    <col min="8" max="8" width="9.875" style="2" customWidth="1"/>
    <col min="9" max="9" width="13.125" style="2" customWidth="1"/>
    <col min="10" max="10" width="16.125" style="2" customWidth="1"/>
    <col min="11" max="11" width="13.625" style="2" customWidth="1"/>
    <col min="12" max="12" width="7.5" style="2" customWidth="1"/>
    <col min="13" max="13" width="12.125" style="2" bestFit="1" customWidth="1"/>
    <col min="14" max="14" width="13.5" style="2" bestFit="1" customWidth="1"/>
    <col min="15" max="16" width="13.5" style="2" customWidth="1"/>
    <col min="17" max="17" width="15.125" style="2" bestFit="1" customWidth="1"/>
    <col min="18" max="19" width="19.5" style="2" bestFit="1" customWidth="1"/>
    <col min="20" max="20" width="17.5" style="2" bestFit="1" customWidth="1"/>
    <col min="21" max="21" width="13.5" style="2" bestFit="1" customWidth="1"/>
    <col min="22" max="22" width="17.375" style="2" customWidth="1"/>
    <col min="23" max="23" width="12.625" style="2" customWidth="1"/>
    <col min="24" max="24" width="17.375" style="2" bestFit="1" customWidth="1"/>
    <col min="25" max="25" width="17" style="2" bestFit="1" customWidth="1"/>
    <col min="26" max="26" width="11.125" style="2" bestFit="1" customWidth="1"/>
    <col min="27" max="27" width="11.375" style="2" bestFit="1" customWidth="1"/>
    <col min="28" max="16384" width="9.375" style="2"/>
  </cols>
  <sheetData>
    <row r="1" spans="1:27" ht="13.2">
      <c r="A1" s="1" t="s">
        <v>230</v>
      </c>
      <c r="D1" s="22"/>
      <c r="E1" s="153"/>
      <c r="Q1" s="189"/>
      <c r="R1"/>
      <c r="S1" s="190"/>
      <c r="T1" s="190"/>
      <c r="U1" s="190"/>
      <c r="V1" s="190"/>
      <c r="W1"/>
    </row>
    <row r="2" spans="1:27" s="3" customFormat="1" ht="13.2">
      <c r="A2" s="1" t="s">
        <v>238</v>
      </c>
      <c r="B2" s="36" t="s">
        <v>233</v>
      </c>
      <c r="C2" s="2"/>
      <c r="E2" s="2"/>
      <c r="F2" s="102"/>
      <c r="G2" s="78" t="s">
        <v>201</v>
      </c>
      <c r="H2" s="2"/>
      <c r="I2" s="2"/>
      <c r="J2" s="65"/>
      <c r="K2" s="65"/>
      <c r="L2" s="66"/>
      <c r="M2" s="67"/>
      <c r="N2" s="67"/>
      <c r="O2" s="67"/>
      <c r="P2" s="67"/>
      <c r="Q2" s="190"/>
      <c r="R2" s="191"/>
      <c r="S2" s="191"/>
      <c r="T2" s="191"/>
      <c r="U2" s="191"/>
      <c r="V2" s="191"/>
      <c r="W2" s="191"/>
      <c r="X2" s="163"/>
      <c r="Y2" s="65"/>
      <c r="Z2" s="65"/>
      <c r="AA2" s="65"/>
    </row>
    <row r="3" spans="1:27" ht="12.75" customHeight="1">
      <c r="A3" s="1"/>
      <c r="D3" s="64"/>
      <c r="E3" s="155" t="s">
        <v>200</v>
      </c>
      <c r="G3" s="137" t="s">
        <v>202</v>
      </c>
      <c r="H3" s="138">
        <v>1</v>
      </c>
      <c r="I3" s="288" t="str">
        <f>IF(H3=1,"R-600a",IF(H3=2,"R-134a","??"))</f>
        <v>R-600a</v>
      </c>
      <c r="J3" s="65"/>
      <c r="K3" s="65"/>
      <c r="L3" s="66"/>
      <c r="M3" s="104" t="s">
        <v>232</v>
      </c>
      <c r="N3" s="180" t="s">
        <v>237</v>
      </c>
      <c r="O3" s="66"/>
      <c r="P3" s="66"/>
      <c r="Q3" s="192"/>
      <c r="R3" s="193"/>
      <c r="S3" s="193"/>
      <c r="T3" s="193"/>
      <c r="U3" s="193"/>
      <c r="V3" s="193"/>
      <c r="W3" s="193"/>
      <c r="X3" s="164"/>
      <c r="Y3" s="65"/>
      <c r="Z3" s="65"/>
      <c r="AA3" s="65"/>
    </row>
    <row r="4" spans="1:27" ht="12.75" customHeight="1">
      <c r="A4" s="30" t="s">
        <v>0</v>
      </c>
      <c r="B4" s="1" t="s">
        <v>1</v>
      </c>
      <c r="D4" s="1" t="s">
        <v>61</v>
      </c>
      <c r="G4" s="43" t="s">
        <v>74</v>
      </c>
      <c r="J4" s="65"/>
      <c r="K4" s="65"/>
      <c r="L4" s="66"/>
      <c r="M4" s="103" t="s">
        <v>150</v>
      </c>
      <c r="N4" s="236" t="s">
        <v>272</v>
      </c>
      <c r="O4" s="66"/>
      <c r="P4" s="66"/>
      <c r="Q4" s="194"/>
      <c r="R4" s="192"/>
      <c r="S4" s="192"/>
      <c r="T4" s="192"/>
      <c r="U4" s="192"/>
      <c r="V4" s="194"/>
      <c r="W4" s="192"/>
      <c r="X4" s="158"/>
      <c r="Y4" s="65"/>
      <c r="Z4" s="65"/>
      <c r="AA4" s="65"/>
    </row>
    <row r="5" spans="1:27" ht="11.85" customHeight="1">
      <c r="A5" s="62" t="s">
        <v>195</v>
      </c>
      <c r="B5" s="121">
        <v>-18</v>
      </c>
      <c r="C5" s="6" t="s">
        <v>2</v>
      </c>
      <c r="D5" s="62" t="s">
        <v>3</v>
      </c>
      <c r="E5" s="291">
        <f>SIZE!E32</f>
        <v>27.358180306372777</v>
      </c>
      <c r="G5" s="37" t="s">
        <v>4</v>
      </c>
      <c r="H5" s="289" t="str">
        <f>N4</f>
        <v>EGX80CLC 100V 50Hz</v>
      </c>
      <c r="I5" s="2" t="s">
        <v>149</v>
      </c>
      <c r="M5" s="103" t="s">
        <v>161</v>
      </c>
      <c r="N5" s="182">
        <v>181.6</v>
      </c>
      <c r="Q5" s="194"/>
      <c r="R5" s="195"/>
      <c r="S5" s="195"/>
      <c r="T5" s="195"/>
      <c r="U5" s="195"/>
      <c r="V5" s="194"/>
      <c r="W5" s="196"/>
      <c r="X5" s="165"/>
    </row>
    <row r="6" spans="1:27" ht="11.85" customHeight="1">
      <c r="A6" s="51" t="s">
        <v>192</v>
      </c>
      <c r="B6" s="122">
        <v>3</v>
      </c>
      <c r="C6" s="8" t="s">
        <v>2</v>
      </c>
      <c r="D6" s="51" t="s">
        <v>5</v>
      </c>
      <c r="E6" s="292">
        <f>SIZE!E33+E8</f>
        <v>39.405076968696406</v>
      </c>
      <c r="G6" s="38" t="s">
        <v>86</v>
      </c>
      <c r="H6" s="39"/>
      <c r="I6" s="29"/>
      <c r="J6" s="29"/>
      <c r="M6" s="103" t="s">
        <v>162</v>
      </c>
      <c r="N6" s="183">
        <v>1.77</v>
      </c>
      <c r="O6" s="1"/>
      <c r="P6" s="1"/>
      <c r="Q6" s="194"/>
      <c r="R6" s="195"/>
      <c r="S6" s="195"/>
      <c r="T6" s="195"/>
      <c r="U6" s="195"/>
      <c r="V6" s="194"/>
      <c r="W6" s="196"/>
      <c r="X6" s="159"/>
    </row>
    <row r="7" spans="1:27" ht="11.85" customHeight="1">
      <c r="A7" s="51" t="s">
        <v>194</v>
      </c>
      <c r="B7" s="290">
        <f>B8+E39</f>
        <v>40.90551469703945</v>
      </c>
      <c r="D7" s="51" t="s">
        <v>109</v>
      </c>
      <c r="E7" s="292">
        <f>SIZE!E34</f>
        <v>5.4330418241237917</v>
      </c>
      <c r="G7" s="2" t="s">
        <v>103</v>
      </c>
      <c r="J7" s="29"/>
      <c r="M7" s="237" t="s">
        <v>239</v>
      </c>
      <c r="N7" s="181">
        <v>2900</v>
      </c>
      <c r="Q7" s="194"/>
      <c r="R7" s="194"/>
      <c r="S7" s="194"/>
      <c r="T7" s="194"/>
      <c r="U7" s="194"/>
      <c r="V7" s="194"/>
      <c r="W7" s="193"/>
      <c r="X7" s="160"/>
    </row>
    <row r="8" spans="1:27" ht="11.85" customHeight="1">
      <c r="A8" s="52" t="s">
        <v>193</v>
      </c>
      <c r="B8" s="123">
        <v>30</v>
      </c>
      <c r="C8" s="2" t="s">
        <v>2</v>
      </c>
      <c r="D8" s="51" t="s">
        <v>7</v>
      </c>
      <c r="E8" s="129">
        <v>0</v>
      </c>
      <c r="G8" s="151" t="s">
        <v>8</v>
      </c>
      <c r="H8" s="152">
        <v>2900</v>
      </c>
      <c r="J8" s="2" t="s">
        <v>245</v>
      </c>
      <c r="M8" s="104" t="s">
        <v>151</v>
      </c>
      <c r="N8" s="184">
        <v>11.14</v>
      </c>
      <c r="O8" s="258" t="s">
        <v>247</v>
      </c>
      <c r="P8" s="259"/>
      <c r="Q8" s="194"/>
      <c r="R8" s="197"/>
      <c r="S8" s="197"/>
      <c r="T8" s="197"/>
      <c r="U8" s="197"/>
      <c r="V8" s="197"/>
      <c r="W8" s="198"/>
      <c r="X8" s="161"/>
    </row>
    <row r="9" spans="1:27" ht="11.85" customHeight="1">
      <c r="C9" s="2" t="s">
        <v>2</v>
      </c>
      <c r="D9" s="130" t="s">
        <v>9</v>
      </c>
      <c r="E9" s="293">
        <f>E8/0.86</f>
        <v>0</v>
      </c>
      <c r="G9" s="132" t="s">
        <v>10</v>
      </c>
      <c r="H9" s="294">
        <f>N8</f>
        <v>11.14</v>
      </c>
      <c r="J9" s="2" t="s">
        <v>244</v>
      </c>
      <c r="K9" s="10"/>
      <c r="M9" s="238" t="s">
        <v>152</v>
      </c>
      <c r="N9" s="185">
        <v>0.92601422515663645</v>
      </c>
      <c r="O9" s="205" t="s">
        <v>240</v>
      </c>
      <c r="P9" s="211">
        <v>1</v>
      </c>
      <c r="Q9" s="194"/>
      <c r="R9" s="199"/>
      <c r="S9" s="199"/>
      <c r="T9" s="199"/>
      <c r="U9" s="199"/>
      <c r="V9" s="194"/>
      <c r="W9" s="200"/>
      <c r="X9" s="160"/>
    </row>
    <row r="10" spans="1:27" ht="11.85" customHeight="1">
      <c r="A10" s="30" t="s">
        <v>11</v>
      </c>
      <c r="C10" s="12" t="s">
        <v>2</v>
      </c>
      <c r="D10" s="44" t="s">
        <v>108</v>
      </c>
      <c r="E10" s="264">
        <f>SUM(E5:E7)</f>
        <v>72.19629909919297</v>
      </c>
      <c r="G10" s="51" t="s">
        <v>246</v>
      </c>
      <c r="H10" s="274">
        <f>(N9+N10*H14/H15+N11*H14)*K10</f>
        <v>0.75782411887827383</v>
      </c>
      <c r="J10" s="218" t="s">
        <v>243</v>
      </c>
      <c r="K10" s="295">
        <f>P9+P10*H8+P11*H8^2</f>
        <v>1</v>
      </c>
      <c r="M10" s="239" t="s">
        <v>153</v>
      </c>
      <c r="N10" s="186">
        <v>-1.221312333322575E-2</v>
      </c>
      <c r="O10" s="206" t="s">
        <v>241</v>
      </c>
      <c r="P10" s="212">
        <v>0</v>
      </c>
      <c r="Q10" s="194"/>
      <c r="R10" s="199"/>
      <c r="S10" s="199"/>
      <c r="T10" s="199"/>
      <c r="U10" s="199"/>
      <c r="V10" s="194"/>
      <c r="W10" s="200"/>
      <c r="X10" s="159"/>
    </row>
    <row r="11" spans="1:27" ht="11.85" customHeight="1">
      <c r="A11" s="62" t="s">
        <v>13</v>
      </c>
      <c r="B11" s="296">
        <f>70*B13/3000*(B12/100)^2</f>
        <v>59.5</v>
      </c>
      <c r="C11" s="13"/>
      <c r="G11" s="51" t="s">
        <v>14</v>
      </c>
      <c r="H11" s="86">
        <v>32.200000000000003</v>
      </c>
      <c r="L11" s="53"/>
      <c r="M11" s="240" t="s">
        <v>154</v>
      </c>
      <c r="N11" s="187">
        <v>-2.3789273042382304E-3</v>
      </c>
      <c r="O11" s="207" t="s">
        <v>242</v>
      </c>
      <c r="P11" s="213">
        <v>0</v>
      </c>
      <c r="Q11" s="194"/>
      <c r="R11" s="199"/>
      <c r="S11" s="199"/>
      <c r="T11" s="199"/>
      <c r="U11" s="199"/>
      <c r="V11" s="194"/>
      <c r="W11" s="200"/>
      <c r="X11" s="162"/>
    </row>
    <row r="12" spans="1:27" ht="11.85" customHeight="1">
      <c r="A12" s="156" t="s">
        <v>231</v>
      </c>
      <c r="B12" s="157">
        <v>100</v>
      </c>
      <c r="C12" s="14"/>
      <c r="D12" s="1" t="s">
        <v>62</v>
      </c>
      <c r="E12" s="69"/>
      <c r="G12" s="51" t="s">
        <v>163</v>
      </c>
      <c r="H12" s="86">
        <v>54.4</v>
      </c>
      <c r="I12" s="68"/>
      <c r="L12" s="10"/>
      <c r="Q12" s="194"/>
      <c r="R12" s="197"/>
      <c r="S12" s="197"/>
      <c r="T12" s="197"/>
      <c r="U12" s="197"/>
      <c r="V12" s="194"/>
      <c r="W12" s="200"/>
      <c r="X12" s="161"/>
    </row>
    <row r="13" spans="1:27" ht="11.85" customHeight="1">
      <c r="A13" s="51" t="s">
        <v>196</v>
      </c>
      <c r="B13" s="51">
        <v>2550</v>
      </c>
      <c r="C13" s="15"/>
      <c r="D13" s="62" t="s">
        <v>167</v>
      </c>
      <c r="E13" s="270">
        <f>E37+E7/B11/B21/B20/E38</f>
        <v>-20.776330220036289</v>
      </c>
      <c r="F13" s="85"/>
      <c r="G13" s="51" t="s">
        <v>164</v>
      </c>
      <c r="H13" s="86">
        <v>-23.3</v>
      </c>
      <c r="J13" s="229" t="s">
        <v>203</v>
      </c>
      <c r="K13" s="230" t="s">
        <v>204</v>
      </c>
      <c r="M13" s="241" t="s">
        <v>155</v>
      </c>
      <c r="N13" s="188">
        <v>135.17500000000001</v>
      </c>
      <c r="O13" s="258" t="s">
        <v>247</v>
      </c>
      <c r="P13" s="259"/>
      <c r="Q13" s="194"/>
      <c r="R13" s="199"/>
      <c r="S13" s="199"/>
      <c r="T13" s="199"/>
      <c r="U13" s="199"/>
      <c r="V13" s="194"/>
      <c r="W13" s="200"/>
      <c r="X13" s="161"/>
    </row>
    <row r="14" spans="1:27" ht="11.85" customHeight="1">
      <c r="A14" s="51" t="s">
        <v>15</v>
      </c>
      <c r="B14" s="114">
        <v>2.1</v>
      </c>
      <c r="C14" s="16"/>
      <c r="D14" s="51" t="s">
        <v>169</v>
      </c>
      <c r="E14" s="323">
        <f>E6/B20/B21/(B6-E13)/E38</f>
        <v>8.5663545450742902</v>
      </c>
      <c r="F14" s="297">
        <f>E14/B11</f>
        <v>0.14397234529536623</v>
      </c>
      <c r="G14" s="51" t="s">
        <v>222</v>
      </c>
      <c r="H14" s="292">
        <f>IF(H3=1,J14,IF(H3=2,K14,"??"))</f>
        <v>7.8357768265329844</v>
      </c>
      <c r="I14" s="68"/>
      <c r="J14" s="298">
        <f>EXP(68.322-4401/(H12+273.16)-9.8436*LN(H12+273.16)+0.0127711*(H12+273.16))</f>
        <v>7.8357768265329844</v>
      </c>
      <c r="K14" s="299">
        <f>EXP(104.918-5301.3/(H12+273.16)-16.2481*LN(H12+273.16)+0.0246593*(H12+273.16))</f>
        <v>14.992292497076312</v>
      </c>
      <c r="M14" s="242" t="s">
        <v>156</v>
      </c>
      <c r="N14" s="186">
        <v>2.6366666666666667</v>
      </c>
      <c r="O14" s="205" t="s">
        <v>248</v>
      </c>
      <c r="P14" s="211">
        <v>1</v>
      </c>
      <c r="Q14" s="194"/>
      <c r="R14" s="199"/>
      <c r="S14" s="199"/>
      <c r="T14" s="199"/>
      <c r="U14" s="199"/>
      <c r="V14" s="194"/>
      <c r="W14" s="200"/>
      <c r="X14" s="162"/>
    </row>
    <row r="15" spans="1:27" ht="11.85" customHeight="1">
      <c r="A15" s="51" t="s">
        <v>197</v>
      </c>
      <c r="B15" s="115">
        <v>140</v>
      </c>
      <c r="D15" s="51" t="s">
        <v>170</v>
      </c>
      <c r="E15" s="292">
        <f>B11-E14</f>
        <v>50.93364545492571</v>
      </c>
      <c r="F15" s="68"/>
      <c r="G15" s="51" t="s">
        <v>223</v>
      </c>
      <c r="H15" s="292">
        <f>IF(H3=1,J15,IF(H3=2,K15,"??"))</f>
        <v>0.63991786377017368</v>
      </c>
      <c r="I15" s="68"/>
      <c r="J15" s="300">
        <f>EXP(68.322-4401/(H13+273.16)-9.8436*LN(H13+273.16)+0.0127711*(H13+273.16))</f>
        <v>0.63991786377017368</v>
      </c>
      <c r="K15" s="301">
        <f>EXP(104.918-5301.3/(H13+273.16)-16.2481*LN(H13+273.16)+0.0246593*(H13+273.16))</f>
        <v>1.1713342427129461</v>
      </c>
      <c r="M15" s="243" t="s">
        <v>157</v>
      </c>
      <c r="N15" s="186">
        <v>0.97500000000000009</v>
      </c>
      <c r="O15" s="206" t="s">
        <v>249</v>
      </c>
      <c r="P15" s="212">
        <v>0</v>
      </c>
      <c r="Q15" s="194"/>
      <c r="R15" s="199"/>
      <c r="S15" s="199"/>
      <c r="T15" s="199"/>
      <c r="U15" s="199"/>
      <c r="V15" s="194"/>
      <c r="W15" s="200"/>
      <c r="X15" s="160"/>
    </row>
    <row r="16" spans="1:27" ht="11.85" customHeight="1">
      <c r="A16" s="116" t="s">
        <v>234</v>
      </c>
      <c r="B16" s="117">
        <v>2</v>
      </c>
      <c r="D16" s="134" t="s">
        <v>168</v>
      </c>
      <c r="E16" s="292">
        <f>(B11-E14)*B21*B20*(B5-E13)*E38</f>
        <v>27.358179360523312</v>
      </c>
      <c r="F16" s="68"/>
      <c r="G16" s="51" t="s">
        <v>224</v>
      </c>
      <c r="H16" s="292">
        <f>IF(H3=1,J16,IF(H3=2,K16,"??"))</f>
        <v>174.07926615182021</v>
      </c>
      <c r="J16" s="300">
        <f>104.5+0.049951*(H11+273.16)+0.00058822*(H11+273.16)^2-249.18*J15/(H11+273.16)</f>
        <v>174.07926615182021</v>
      </c>
      <c r="K16" s="301">
        <f xml:space="preserve"> 119.36 + 0.023174 *(H11+273.16) + 0.00031297 * (H11+273.16) ^ 2 - 138.07 *K15/ (H11+273.16)</f>
        <v>155.08959122326249</v>
      </c>
      <c r="M16" s="244" t="s">
        <v>158</v>
      </c>
      <c r="N16" s="186">
        <v>0.02</v>
      </c>
      <c r="O16" s="207" t="s">
        <v>250</v>
      </c>
      <c r="P16" s="213">
        <v>0</v>
      </c>
      <c r="Q16" s="194"/>
      <c r="R16" s="201"/>
      <c r="S16" s="201"/>
      <c r="T16" s="201"/>
      <c r="U16" s="201"/>
      <c r="V16" s="194"/>
      <c r="W16" s="200"/>
      <c r="X16" s="166"/>
    </row>
    <row r="17" spans="1:24" ht="11.85" customHeight="1">
      <c r="A17" s="116" t="s">
        <v>235</v>
      </c>
      <c r="B17" s="117">
        <v>1</v>
      </c>
      <c r="D17" s="51" t="s">
        <v>171</v>
      </c>
      <c r="E17" s="292">
        <f>E14*B20*B21*(B6-E13)*E38</f>
        <v>39.405076968696406</v>
      </c>
      <c r="G17" s="51" t="s">
        <v>225</v>
      </c>
      <c r="H17" s="292">
        <f>IF(H3=1,J17,IF(H3=2,K17,"??"))</f>
        <v>94.323476470118408</v>
      </c>
      <c r="J17" s="300">
        <f>75.545+0.55731*H11+0.0007088*H11^2+0.0000029408*H11^3</f>
        <v>94.323476470118408</v>
      </c>
      <c r="K17" s="301">
        <f xml:space="preserve"> 100.019 + 0.31763 * H11+ 0.00033057 * H11^ 2 + 0.0000035281 *H11^ 3</f>
        <v>110.7072242203688</v>
      </c>
      <c r="M17" s="245" t="s">
        <v>159</v>
      </c>
      <c r="N17" s="246">
        <v>1.6666666666666666E-2</v>
      </c>
      <c r="Q17" s="194"/>
      <c r="R17" s="202"/>
      <c r="S17" s="202"/>
      <c r="T17" s="202"/>
      <c r="U17" s="202"/>
      <c r="V17" s="202"/>
      <c r="W17" s="203"/>
      <c r="X17" s="167"/>
    </row>
    <row r="18" spans="1:24" ht="11.85" customHeight="1">
      <c r="A18" s="51" t="s">
        <v>75</v>
      </c>
      <c r="B18" s="118">
        <v>10.5</v>
      </c>
      <c r="D18" s="51" t="s">
        <v>172</v>
      </c>
      <c r="E18" s="292">
        <f>B11*B21*B20*(E13-E37)*E38</f>
        <v>5.433041824123781</v>
      </c>
      <c r="G18" s="51" t="s">
        <v>17</v>
      </c>
      <c r="H18" s="304">
        <f>IF(H3=1,J18,IF(H3=2,K18,"??"))</f>
        <v>0.68600648869892078</v>
      </c>
      <c r="J18" s="302">
        <f xml:space="preserve"> 0.015883+0.001455*(H11+273.16)/J15-7.2936/(H11+273.16)-0.0004645*J15</f>
        <v>0.68600648869892078</v>
      </c>
      <c r="K18" s="303">
        <f>0.01248+0.0008207*(H11+273.16)/K15-4.663/(H11+273.16)-0.0002297*K15</f>
        <v>0.21089214370746862</v>
      </c>
      <c r="M18" s="234"/>
      <c r="N18" s="235"/>
    </row>
    <row r="19" spans="1:24" ht="11.85" customHeight="1">
      <c r="A19" s="51" t="s">
        <v>198</v>
      </c>
      <c r="B19" s="118">
        <v>0</v>
      </c>
      <c r="D19" s="51" t="s">
        <v>160</v>
      </c>
      <c r="E19" s="304">
        <f>B11/(B24*B25)/3600*10^6</f>
        <v>0.59883252818035426</v>
      </c>
      <c r="G19" s="52" t="s">
        <v>19</v>
      </c>
      <c r="H19" s="305">
        <f>H10*H8*60*H9*10^(-6)/H18</f>
        <v>2.1412858089066673</v>
      </c>
      <c r="J19" s="60"/>
      <c r="K19" s="61"/>
      <c r="L19" s="10"/>
    </row>
    <row r="20" spans="1:24" ht="11.85" customHeight="1">
      <c r="A20" s="51" t="s">
        <v>110</v>
      </c>
      <c r="B20" s="119">
        <v>1.365</v>
      </c>
      <c r="D20" s="51" t="s">
        <v>173</v>
      </c>
      <c r="E20" s="292">
        <f>(E14*B6+E15*B5)/B11</f>
        <v>-14.976580748797309</v>
      </c>
      <c r="S20" s="1"/>
    </row>
    <row r="21" spans="1:24" ht="11.85" customHeight="1">
      <c r="A21" s="52" t="s">
        <v>16</v>
      </c>
      <c r="B21" s="120">
        <v>0.24</v>
      </c>
      <c r="D21" s="51" t="s">
        <v>18</v>
      </c>
      <c r="E21" s="292">
        <f>E10/E23/B33/E38</f>
        <v>6.6684767373057863</v>
      </c>
      <c r="G21" s="260" t="s">
        <v>253</v>
      </c>
      <c r="H21" s="307">
        <f>H19*(H16-H17)</f>
        <v>170.77994062357286</v>
      </c>
      <c r="I21" s="208" t="s">
        <v>254</v>
      </c>
      <c r="K21" s="209"/>
      <c r="L21" s="1"/>
      <c r="M21" s="31"/>
      <c r="R21" s="153"/>
    </row>
    <row r="22" spans="1:24">
      <c r="A22"/>
      <c r="B22"/>
      <c r="D22" s="131" t="s">
        <v>59</v>
      </c>
      <c r="E22" s="292">
        <f>EXP((E20-E37)/E21)</f>
        <v>2.5612684542587161</v>
      </c>
      <c r="G22" s="260"/>
      <c r="H22" s="308">
        <f>H21/0.86</f>
        <v>198.58132630648007</v>
      </c>
      <c r="I22" s="210" t="s">
        <v>104</v>
      </c>
      <c r="J22" s="216" t="s">
        <v>255</v>
      </c>
      <c r="K22" s="216"/>
      <c r="M22" s="139"/>
      <c r="N22" s="140" t="s">
        <v>205</v>
      </c>
      <c r="O22" s="311">
        <f>B7</f>
        <v>40.90551469703945</v>
      </c>
      <c r="R22" s="153"/>
    </row>
    <row r="23" spans="1:24" ht="12.6">
      <c r="A23" s="1" t="s">
        <v>256</v>
      </c>
      <c r="B23"/>
      <c r="D23" s="131" t="s">
        <v>112</v>
      </c>
      <c r="E23" s="292">
        <f>12.93*E19^0.415</f>
        <v>10.451539320353254</v>
      </c>
      <c r="G23" s="214" t="s">
        <v>70</v>
      </c>
      <c r="H23" s="309">
        <f>K23*(N13+N14*H13+N15*H12+N16*H12*H13+N17*H13^2)*H8/N7</f>
        <v>110.47843333333333</v>
      </c>
      <c r="I23" s="210" t="s">
        <v>104</v>
      </c>
      <c r="J23" s="217" t="s">
        <v>251</v>
      </c>
      <c r="K23" s="306">
        <f>P14+P15*H8+P16*H8^2</f>
        <v>1</v>
      </c>
      <c r="M23" s="141"/>
      <c r="N23" s="142" t="s">
        <v>206</v>
      </c>
      <c r="O23" s="312">
        <f>E24</f>
        <v>-25.265367562708445</v>
      </c>
      <c r="R23" s="153"/>
    </row>
    <row r="24" spans="1:24" ht="11.25" customHeight="1">
      <c r="A24" s="62" t="s">
        <v>274</v>
      </c>
      <c r="B24" s="247">
        <v>460</v>
      </c>
      <c r="D24" s="51" t="s">
        <v>20</v>
      </c>
      <c r="E24" s="274">
        <f>(E20-E22*E37)/(1-E22)</f>
        <v>-25.265367562708445</v>
      </c>
      <c r="F24" s="102"/>
      <c r="G24" s="52" t="s">
        <v>21</v>
      </c>
      <c r="H24" s="310">
        <f>H21/H23/0.86</f>
        <v>1.7974668929937163</v>
      </c>
      <c r="I24" s="215" t="s">
        <v>252</v>
      </c>
      <c r="M24" s="141"/>
      <c r="N24" s="142" t="s">
        <v>207</v>
      </c>
      <c r="O24" s="313">
        <f>B8</f>
        <v>30</v>
      </c>
      <c r="R24" s="153"/>
    </row>
    <row r="25" spans="1:24" ht="11.25" customHeight="1">
      <c r="A25" s="51" t="s">
        <v>275</v>
      </c>
      <c r="B25" s="248">
        <v>60</v>
      </c>
      <c r="D25" s="51" t="s">
        <v>174</v>
      </c>
      <c r="E25" s="292">
        <f>E23*B33*E21</f>
        <v>122.24961986603</v>
      </c>
      <c r="M25" s="141"/>
      <c r="N25" s="143" t="s">
        <v>208</v>
      </c>
      <c r="O25" s="314">
        <f>K28</f>
        <v>30.90551469703945</v>
      </c>
      <c r="R25" s="153"/>
    </row>
    <row r="26" spans="1:24">
      <c r="A26" s="51" t="s">
        <v>276</v>
      </c>
      <c r="B26" s="249">
        <v>7</v>
      </c>
      <c r="D26" s="51" t="s">
        <v>22</v>
      </c>
      <c r="E26" s="292">
        <f>K32</f>
        <v>98.410647040668735</v>
      </c>
      <c r="G26" s="31" t="s">
        <v>165</v>
      </c>
      <c r="H26"/>
      <c r="M26" s="144"/>
      <c r="N26" s="231" t="s">
        <v>209</v>
      </c>
      <c r="O26" s="231" t="s">
        <v>204</v>
      </c>
      <c r="R26" s="168"/>
    </row>
    <row r="27" spans="1:24">
      <c r="A27" s="51" t="s">
        <v>105</v>
      </c>
      <c r="B27" s="127">
        <v>8</v>
      </c>
      <c r="D27" s="131" t="s">
        <v>236</v>
      </c>
      <c r="E27" s="292">
        <f>E26+B14+B16</f>
        <v>102.51064704066873</v>
      </c>
      <c r="G27" s="106" t="s">
        <v>229</v>
      </c>
      <c r="H27" s="298">
        <f>IF(H3=1,N27,IF(H3=2,O27,"??"))</f>
        <v>5.6023372271195644</v>
      </c>
      <c r="J27" s="62" t="s">
        <v>226</v>
      </c>
      <c r="K27" s="107">
        <v>10</v>
      </c>
      <c r="M27" s="145" t="s">
        <v>210</v>
      </c>
      <c r="N27" s="298">
        <f>EXP(68.322-4401/(O22+273.16)-9.8436*LN(O22+273.16)+0.0127711*(O22+273.16))</f>
        <v>5.6023372271195644</v>
      </c>
      <c r="O27" s="299">
        <f>EXP(104.918-5301.3/(O22+273.16)-16.2481*LN(O22+273.16)+0.0246593*(O22+273.16))</f>
        <v>10.622078010575667</v>
      </c>
      <c r="R27" s="169"/>
    </row>
    <row r="28" spans="1:24">
      <c r="A28" s="51" t="s">
        <v>84</v>
      </c>
      <c r="B28" s="318">
        <f>(28*60-3.146*(B27/2)^2*2)*2/10^6</f>
        <v>3.1586560000000001E-3</v>
      </c>
      <c r="D28" s="51" t="s">
        <v>111</v>
      </c>
      <c r="E28" s="323">
        <f>(E27*E38+(1-E38)*B17)*24/1000+B15*E31*B19/60/1000</f>
        <v>1.462766296735883</v>
      </c>
      <c r="G28" s="131" t="s">
        <v>223</v>
      </c>
      <c r="H28" s="300">
        <f>IF(H3=1,N28,IF(H3=2,O28,"??"))</f>
        <v>0.58659092321423179</v>
      </c>
      <c r="I28" s="79"/>
      <c r="J28" s="52" t="s">
        <v>166</v>
      </c>
      <c r="K28" s="305">
        <f>B7-K27</f>
        <v>30.90551469703945</v>
      </c>
      <c r="L28"/>
      <c r="M28" s="146" t="s">
        <v>211</v>
      </c>
      <c r="N28" s="300">
        <f>EXP(68.322-4401/(O23+273.16)-9.8436*LN(O23+273.16)+0.0127711*(O23+273.16))</f>
        <v>0.58659092321423179</v>
      </c>
      <c r="O28" s="301">
        <f>EXP(104.918-5301.3/(O23+273.16)-16.2481*LN(O23+273.16)+0.0246593*(O23+273.16))</f>
        <v>1.072267593581065</v>
      </c>
      <c r="P28" s="1"/>
      <c r="R28" s="170"/>
    </row>
    <row r="29" spans="1:24" ht="12.6">
      <c r="A29" s="51" t="s">
        <v>132</v>
      </c>
      <c r="B29" s="319">
        <f>B45</f>
        <v>504</v>
      </c>
      <c r="D29" s="133" t="s">
        <v>141</v>
      </c>
      <c r="E29" s="292">
        <f>E28*30</f>
        <v>43.882988902076491</v>
      </c>
      <c r="F29" s="98"/>
      <c r="G29" s="108" t="s">
        <v>221</v>
      </c>
      <c r="H29" s="317">
        <f>IF(H3=1,N29,IF(H3=2,O29,"??"))</f>
        <v>0.74352028083596622</v>
      </c>
      <c r="I29" s="80"/>
      <c r="J29" s="106" t="s">
        <v>227</v>
      </c>
      <c r="K29" s="325">
        <f>IF(H3=1,N30,IF(H3=2,O30,"??"))</f>
        <v>93.532774044964384</v>
      </c>
      <c r="L29"/>
      <c r="M29" s="146" t="s">
        <v>212</v>
      </c>
      <c r="N29" s="315">
        <f>0.015883+0.001455*(O24+273.16)/N28-7.2936/(O24+273.16)-0.0004645*N28</f>
        <v>0.74352028083596622</v>
      </c>
      <c r="O29" s="316">
        <f>0.01248+0.0008207*(O24+273.16 )/O28-4.663/(O24+273.16)-0.0002297*O28</f>
        <v>0.22888719767792057</v>
      </c>
      <c r="R29" s="61"/>
    </row>
    <row r="30" spans="1:24">
      <c r="A30" s="128" t="s">
        <v>133</v>
      </c>
      <c r="B30" s="320">
        <f>B29*B28</f>
        <v>1.591962624</v>
      </c>
      <c r="D30" s="51" t="s">
        <v>199</v>
      </c>
      <c r="E30" s="292">
        <f>K31</f>
        <v>122.24962463092378</v>
      </c>
      <c r="F30" s="124"/>
      <c r="G30" s="25" t="s">
        <v>69</v>
      </c>
      <c r="H30" s="321">
        <f>(N9+N10*H27/H28+N11*H27)*K10</f>
        <v>0.79604314291049816</v>
      </c>
      <c r="I30"/>
      <c r="J30" s="108" t="s">
        <v>228</v>
      </c>
      <c r="K30" s="325">
        <f>IF(H3=1,N31,IF(H3=2,O31,"??"))</f>
        <v>152.44009998149349</v>
      </c>
      <c r="L30"/>
      <c r="M30" s="146" t="s">
        <v>213</v>
      </c>
      <c r="N30" s="300">
        <f>75.545+0.55731*O25+0.0007088*O25^2+0.0000029408*O25^3</f>
        <v>93.532774044964384</v>
      </c>
      <c r="O30" s="301">
        <f>100.019+0.31763*O25+0.00033057*O25^2+0.0000035281*O25^ 3</f>
        <v>110.25541034089126</v>
      </c>
      <c r="R30" s="61"/>
      <c r="U30" s="171"/>
    </row>
    <row r="31" spans="1:24">
      <c r="A31" s="51" t="s">
        <v>85</v>
      </c>
      <c r="B31" s="320">
        <f>(3.146*B27*B24)*B26*2/10^6</f>
        <v>0.16208191999999999</v>
      </c>
      <c r="D31" s="51" t="s">
        <v>106</v>
      </c>
      <c r="E31" s="274">
        <f>24/E32</f>
        <v>1.3498619660950093</v>
      </c>
      <c r="G31" s="26" t="s">
        <v>68</v>
      </c>
      <c r="H31" s="322">
        <f>H30*H8*60*H9*10^(-6)/H29</f>
        <v>2.0752872870624635</v>
      </c>
      <c r="I31"/>
      <c r="J31" s="135" t="s">
        <v>24</v>
      </c>
      <c r="K31" s="291">
        <f>H31*(K30-K29)</f>
        <v>122.24962463092378</v>
      </c>
      <c r="L31"/>
      <c r="M31" s="147" t="s">
        <v>214</v>
      </c>
      <c r="N31" s="317">
        <f>104.5+0.049951*(O23+273.16)+0.00058822*(O23+273.16)^2-249.18*N28/(O23+273.16)</f>
        <v>152.44009998149349</v>
      </c>
      <c r="O31" s="302">
        <f xml:space="preserve"> 119.36 + 0.023174 *(O23+273.16) + 0.00031297 * (O23+273.16) ^ 2 - 138.07 *O28/ (O23+273.16)</f>
        <v>143.74004260220877</v>
      </c>
      <c r="R31" s="172"/>
    </row>
    <row r="32" spans="1:24">
      <c r="A32" s="51" t="s">
        <v>134</v>
      </c>
      <c r="B32" s="51">
        <v>0</v>
      </c>
      <c r="D32" s="52" t="s">
        <v>271</v>
      </c>
      <c r="E32" s="324">
        <f>B18/E38</f>
        <v>17.779595694090972</v>
      </c>
      <c r="J32" s="136" t="s">
        <v>22</v>
      </c>
      <c r="K32" s="310">
        <f>K23*(N13+N14*E24+N15*B7+N16*B7*E24+N17*E24*E24)*H8/N7</f>
        <v>98.410647040668735</v>
      </c>
    </row>
    <row r="33" spans="1:28">
      <c r="A33" s="52" t="s">
        <v>23</v>
      </c>
      <c r="B33" s="326">
        <f>B30+B31+B32</f>
        <v>1.7540445440000001</v>
      </c>
      <c r="C33" s="97"/>
    </row>
    <row r="34" spans="1:28" ht="12">
      <c r="A34" s="70"/>
      <c r="B34" s="71"/>
      <c r="C34" s="97"/>
      <c r="G34" s="32" t="s">
        <v>73</v>
      </c>
      <c r="H34"/>
      <c r="I34"/>
      <c r="J34"/>
      <c r="K34"/>
      <c r="L34"/>
      <c r="M34" s="219"/>
      <c r="N34" s="219"/>
      <c r="O34" s="219"/>
      <c r="P34" s="219"/>
      <c r="Q34" s="27"/>
      <c r="V34" s="11"/>
      <c r="Y34" s="173"/>
      <c r="Z34" s="173"/>
      <c r="AA34" s="174"/>
      <c r="AB34" s="174"/>
    </row>
    <row r="35" spans="1:28" ht="12">
      <c r="A35" s="253" t="s">
        <v>267</v>
      </c>
      <c r="B35" s="253"/>
      <c r="C35" s="97"/>
      <c r="D35" s="18" t="s">
        <v>102</v>
      </c>
      <c r="G35" s="40" t="s">
        <v>63</v>
      </c>
      <c r="H35" s="333">
        <f>(0.3405*(B7-B8)+0.03322*(B7-B6))*(SIZE!B8*2+MAIN!B9)/1000</f>
        <v>11.23796063282534</v>
      </c>
      <c r="I35" s="111"/>
      <c r="J35"/>
      <c r="K35"/>
      <c r="M35"/>
      <c r="N35"/>
      <c r="O35"/>
      <c r="P35"/>
      <c r="Q35"/>
      <c r="Y35" s="173"/>
      <c r="Z35" s="173"/>
      <c r="AA35" s="174"/>
      <c r="AB35" s="173"/>
    </row>
    <row r="36" spans="1:28" ht="12">
      <c r="A36" s="221" t="s">
        <v>257</v>
      </c>
      <c r="B36" s="222" t="s">
        <v>268</v>
      </c>
      <c r="C36" s="97"/>
      <c r="D36" s="44" t="s">
        <v>175</v>
      </c>
      <c r="E36" s="44">
        <v>1</v>
      </c>
      <c r="G36" s="41" t="s">
        <v>64</v>
      </c>
      <c r="H36" s="334">
        <f>(0.1984*(B7-B8)+0.1219*(B7-B5))*(SIZE!B9-SIZE!B23-SIZE!B24)/1000</f>
        <v>6.4475230866485971</v>
      </c>
      <c r="I36" s="112"/>
      <c r="J36" s="204" t="s">
        <v>269</v>
      </c>
      <c r="K36" s="228" t="s">
        <v>270</v>
      </c>
      <c r="L36"/>
      <c r="M36" s="2" t="s">
        <v>273</v>
      </c>
      <c r="N36"/>
      <c r="O36"/>
      <c r="P36"/>
      <c r="Q36"/>
      <c r="S36" s="1"/>
      <c r="Y36" s="173"/>
      <c r="Z36" s="173"/>
      <c r="AA36" s="173"/>
      <c r="AB36" s="173"/>
    </row>
    <row r="37" spans="1:28" ht="12">
      <c r="A37" s="223" t="s">
        <v>258</v>
      </c>
      <c r="B37" s="224">
        <v>93</v>
      </c>
      <c r="C37" s="97"/>
      <c r="D37" s="62" t="s">
        <v>177</v>
      </c>
      <c r="E37" s="125">
        <v>-21.248300629797299</v>
      </c>
      <c r="G37" s="41" t="s">
        <v>65</v>
      </c>
      <c r="H37" s="334">
        <f>(0.3395*(B7-B8)+0.0344*(B7-B6))*(SIZE!B7*2)/1000</f>
        <v>5.5070091397453549</v>
      </c>
      <c r="I37" s="109"/>
      <c r="J37" s="96" t="s">
        <v>188</v>
      </c>
      <c r="K37" s="110" t="s">
        <v>189</v>
      </c>
      <c r="L37"/>
      <c r="M37" s="109"/>
      <c r="N37" s="110" t="s">
        <v>184</v>
      </c>
      <c r="O37" s="109" t="s">
        <v>185</v>
      </c>
      <c r="P37"/>
      <c r="Q37"/>
      <c r="R37" s="153"/>
      <c r="Y37" s="173"/>
      <c r="Z37" s="173"/>
      <c r="AA37" s="173"/>
      <c r="AB37" s="173"/>
    </row>
    <row r="38" spans="1:28" ht="12">
      <c r="A38" s="225" t="s">
        <v>259</v>
      </c>
      <c r="B38" s="226">
        <v>93</v>
      </c>
      <c r="C38" s="97"/>
      <c r="D38" s="51" t="s">
        <v>176</v>
      </c>
      <c r="E38" s="126">
        <v>0.59056461016656658</v>
      </c>
      <c r="G38" s="41" t="s">
        <v>66</v>
      </c>
      <c r="H38" s="334">
        <f>J38*K38*E39</f>
        <v>111.88111480486768</v>
      </c>
      <c r="I38" s="232" t="s">
        <v>190</v>
      </c>
      <c r="J38" s="327">
        <f>N38</f>
        <v>5.3949999999999996</v>
      </c>
      <c r="K38" s="328">
        <f>(SIZE!B6*(SIZE!B10-30)-(SIZE!B13+SIZE!B12)*SIZE!B11/2)*2/10^6</f>
        <v>1.9016</v>
      </c>
      <c r="L38"/>
      <c r="M38" s="109" t="s">
        <v>186</v>
      </c>
      <c r="N38" s="331">
        <f>(10.57-0.042*O38+0.00005*O38^2)</f>
        <v>5.3949999999999996</v>
      </c>
      <c r="O38" s="109">
        <v>150</v>
      </c>
      <c r="Q38"/>
      <c r="R38" s="153"/>
      <c r="Y38" s="173"/>
      <c r="Z38" s="173"/>
      <c r="AA38" s="173"/>
      <c r="AB38" s="173"/>
    </row>
    <row r="39" spans="1:28" ht="12">
      <c r="A39" s="225" t="s">
        <v>260</v>
      </c>
      <c r="B39" s="226">
        <v>93</v>
      </c>
      <c r="D39" s="52" t="s">
        <v>178</v>
      </c>
      <c r="E39" s="73">
        <v>10.905514697039447</v>
      </c>
      <c r="G39" s="41" t="s">
        <v>67</v>
      </c>
      <c r="H39" s="334">
        <f>J39*K39*E39</f>
        <v>36.162512247147646</v>
      </c>
      <c r="I39" s="233" t="s">
        <v>191</v>
      </c>
      <c r="J39" s="329">
        <f>N39</f>
        <v>4.17</v>
      </c>
      <c r="K39" s="330">
        <f>SIZE!B9*(SIZE!B6-SIZE!B11)/10^6*K40</f>
        <v>0.79519999999999991</v>
      </c>
      <c r="M39" s="109" t="s">
        <v>187</v>
      </c>
      <c r="N39" s="332">
        <f>(10.57-0.042*O39+0.00005*O39^2)</f>
        <v>4.17</v>
      </c>
      <c r="O39" s="109">
        <v>200</v>
      </c>
      <c r="Q39"/>
      <c r="R39" s="153"/>
      <c r="Y39" s="173"/>
      <c r="Z39" s="175"/>
      <c r="AA39" s="175"/>
      <c r="AB39" s="175"/>
    </row>
    <row r="40" spans="1:28" ht="12">
      <c r="A40" s="225" t="s">
        <v>261</v>
      </c>
      <c r="B40" s="226">
        <v>92</v>
      </c>
      <c r="G40" s="113" t="s">
        <v>182</v>
      </c>
      <c r="H40" s="335">
        <f>SUM(H35:H39)</f>
        <v>171.23611991123462</v>
      </c>
      <c r="I40" s="76" t="s">
        <v>277</v>
      </c>
      <c r="J40" s="251"/>
      <c r="K40" s="252">
        <v>0.7</v>
      </c>
      <c r="Q40"/>
      <c r="R40" s="153"/>
      <c r="Y40" s="173"/>
      <c r="Z40" s="175"/>
      <c r="AA40" s="175"/>
      <c r="AB40" s="175"/>
    </row>
    <row r="41" spans="1:28" ht="12">
      <c r="A41" s="225" t="s">
        <v>262</v>
      </c>
      <c r="B41" s="226">
        <v>62</v>
      </c>
      <c r="G41"/>
      <c r="H41"/>
      <c r="I41"/>
      <c r="J41"/>
      <c r="K41"/>
      <c r="L41"/>
      <c r="Q41"/>
      <c r="R41" s="153"/>
      <c r="Y41" s="173"/>
      <c r="Z41" s="175"/>
      <c r="AA41" s="175"/>
      <c r="AB41" s="175"/>
    </row>
    <row r="42" spans="1:28" ht="12">
      <c r="A42" s="225" t="s">
        <v>263</v>
      </c>
      <c r="B42" s="226">
        <v>47</v>
      </c>
      <c r="D42" s="18" t="s">
        <v>25</v>
      </c>
      <c r="G42" s="32" t="s">
        <v>72</v>
      </c>
      <c r="H42"/>
      <c r="L42"/>
      <c r="Q42" s="27"/>
      <c r="R42" s="168"/>
      <c r="Y42" s="173"/>
      <c r="Z42" s="175"/>
      <c r="AA42" s="175"/>
      <c r="AB42" s="175"/>
    </row>
    <row r="43" spans="1:28" ht="12">
      <c r="A43" s="225" t="s">
        <v>264</v>
      </c>
      <c r="B43" s="226">
        <v>24</v>
      </c>
      <c r="D43" s="62" t="s">
        <v>180</v>
      </c>
      <c r="E43" s="298">
        <f>E5-E16</f>
        <v>9.458494645286919E-7</v>
      </c>
      <c r="G43" s="109" t="s">
        <v>183</v>
      </c>
      <c r="H43" s="335">
        <f>H31*(H45-H46)</f>
        <v>171.23611239718704</v>
      </c>
      <c r="I43" s="2" t="s">
        <v>143</v>
      </c>
      <c r="J43" s="92" t="s">
        <v>144</v>
      </c>
      <c r="K43" s="93"/>
      <c r="M43" s="255"/>
      <c r="N43" s="148" t="s">
        <v>215</v>
      </c>
      <c r="O43" s="311">
        <f>B7</f>
        <v>40.90551469703945</v>
      </c>
      <c r="R43" s="169"/>
      <c r="Y43" s="173"/>
      <c r="Z43" s="175"/>
      <c r="AA43" s="175"/>
      <c r="AB43" s="175"/>
    </row>
    <row r="44" spans="1:28" ht="12">
      <c r="A44" s="207" t="s">
        <v>265</v>
      </c>
      <c r="B44" s="227"/>
      <c r="D44" s="51" t="s">
        <v>179</v>
      </c>
      <c r="E44" s="300">
        <f>E10-E30*E38</f>
        <v>-2.8139776304669795E-6</v>
      </c>
      <c r="G44" s="42" t="s">
        <v>145</v>
      </c>
      <c r="H44" s="34"/>
      <c r="J44" s="94" t="s">
        <v>146</v>
      </c>
      <c r="K44" s="95">
        <v>60</v>
      </c>
      <c r="M44" s="256"/>
      <c r="N44" s="149" t="s">
        <v>216</v>
      </c>
      <c r="O44" s="336">
        <f>K44</f>
        <v>60</v>
      </c>
      <c r="R44" s="170"/>
      <c r="Y44" s="173"/>
      <c r="Z44" s="175"/>
      <c r="AA44" s="175"/>
      <c r="AB44" s="175"/>
    </row>
    <row r="45" spans="1:28" ht="12">
      <c r="A45" s="74" t="s">
        <v>266</v>
      </c>
      <c r="B45" s="337">
        <f>SUM(B37:B44)</f>
        <v>504</v>
      </c>
      <c r="D45" s="52" t="s">
        <v>181</v>
      </c>
      <c r="E45" s="317">
        <f>H40-H43</f>
        <v>7.5140475814805541E-6</v>
      </c>
      <c r="G45" s="33" t="s">
        <v>147</v>
      </c>
      <c r="H45" s="334">
        <f>IF(H3=1,N46,IF(H3=2,O46,"??"))</f>
        <v>182.24134847284569</v>
      </c>
      <c r="I45" s="2" t="s">
        <v>143</v>
      </c>
      <c r="M45" s="257"/>
      <c r="N45" s="103" t="s">
        <v>217</v>
      </c>
      <c r="O45" s="103" t="s">
        <v>218</v>
      </c>
      <c r="R45" s="61"/>
      <c r="Y45" s="173"/>
      <c r="Z45" s="175"/>
      <c r="AA45" s="175"/>
      <c r="AB45" s="175"/>
    </row>
    <row r="46" spans="1:28" ht="12">
      <c r="G46" s="35" t="s">
        <v>148</v>
      </c>
      <c r="H46" s="330">
        <f>IF(H3=1,N47,IF(H3=2,O47,"??"))</f>
        <v>99.729344730188416</v>
      </c>
      <c r="I46" s="2" t="s">
        <v>143</v>
      </c>
      <c r="M46" s="148" t="s">
        <v>219</v>
      </c>
      <c r="N46" s="338">
        <f>104.5+0.049951*(O44+273.16)+0.00058822*(O44+273.16)^2-249.18*N27/(O44+273.16)</f>
        <v>182.24134847284569</v>
      </c>
      <c r="O46" s="299">
        <f>119.36+0.023174*(O44+273.16)+0.00031297*(O44+273.16)^2-138.07*O27/(O44+273.16)</f>
        <v>157.4168782612694</v>
      </c>
      <c r="R46" s="61"/>
      <c r="Y46" s="173"/>
      <c r="Z46" s="175"/>
      <c r="AA46" s="175"/>
      <c r="AB46" s="175"/>
    </row>
    <row r="47" spans="1:28" ht="12">
      <c r="M47" s="150" t="s">
        <v>220</v>
      </c>
      <c r="N47" s="317">
        <f>75.545+0.55731*O43+0.0007088*O43^2+0.0000029408*O43^3</f>
        <v>99.729344730188416</v>
      </c>
      <c r="O47" s="302">
        <f xml:space="preserve"> 100.019 + 0.31763 *O43+ 0.00033057 * O43^ 2 + 0.0000035281 *O43^ 3</f>
        <v>113.8064315148994</v>
      </c>
      <c r="R47" s="172"/>
      <c r="Y47" s="173"/>
      <c r="Z47" s="173"/>
      <c r="AA47" s="173"/>
      <c r="AB47" s="173"/>
    </row>
    <row r="48" spans="1:28" ht="12">
      <c r="M48" s="59"/>
      <c r="S48" s="176"/>
      <c r="T48" s="176"/>
      <c r="U48" s="176"/>
      <c r="V48" s="176"/>
      <c r="W48" s="177"/>
      <c r="Y48" s="173"/>
      <c r="Z48" s="167"/>
      <c r="AA48" s="173"/>
      <c r="AB48" s="173"/>
    </row>
    <row r="49" spans="4:28" ht="12">
      <c r="D49" s="99"/>
      <c r="E49" s="100"/>
      <c r="F49" s="85"/>
      <c r="G49" s="76" t="s">
        <v>71</v>
      </c>
      <c r="H49" s="77"/>
      <c r="I49" s="72" t="s">
        <v>120</v>
      </c>
      <c r="Q49"/>
      <c r="Y49" s="173"/>
      <c r="Z49" s="178"/>
      <c r="AA49" s="173"/>
      <c r="AB49" s="173"/>
    </row>
    <row r="50" spans="4:28" ht="12">
      <c r="D50" s="99"/>
      <c r="E50" s="100"/>
      <c r="F50" s="85"/>
      <c r="G50" s="75" t="s">
        <v>118</v>
      </c>
      <c r="H50" s="339">
        <f>IF(K38=0,0,J38/10*E39)</f>
        <v>5.8835251790527812</v>
      </c>
      <c r="I50" s="311">
        <f>B8+H50*E38</f>
        <v>33.474601753772482</v>
      </c>
      <c r="Q50"/>
      <c r="V50" s="179"/>
      <c r="Y50" s="173"/>
      <c r="Z50" s="173"/>
      <c r="AA50" s="173"/>
      <c r="AB50" s="173"/>
    </row>
    <row r="51" spans="4:28" ht="12">
      <c r="D51" s="99"/>
      <c r="E51" s="100"/>
      <c r="F51" s="85"/>
      <c r="G51" s="28" t="s">
        <v>119</v>
      </c>
      <c r="H51" s="340">
        <f>IF(K39=0,0,J39/10*E39)</f>
        <v>4.5475996286654494</v>
      </c>
      <c r="I51" s="314">
        <f>B8+H51*E38</f>
        <v>32.685651401896436</v>
      </c>
      <c r="Q51" s="27"/>
    </row>
    <row r="52" spans="4:28" ht="12">
      <c r="D52" s="250"/>
      <c r="E52" s="100"/>
      <c r="F52" s="85"/>
      <c r="K52"/>
      <c r="V52" s="179"/>
    </row>
    <row r="53" spans="4:28" ht="12">
      <c r="D53" s="99"/>
      <c r="E53" s="99"/>
      <c r="V53" s="179"/>
    </row>
    <row r="54" spans="4:28" ht="12">
      <c r="D54" s="99"/>
      <c r="E54" s="101"/>
      <c r="V54" s="179"/>
    </row>
    <row r="55" spans="4:28" ht="12">
      <c r="D55" s="99"/>
      <c r="E55" s="100"/>
    </row>
    <row r="56" spans="4:28" ht="12">
      <c r="D56" s="99"/>
      <c r="E56" s="100"/>
    </row>
    <row r="57" spans="4:28" ht="12">
      <c r="D57" s="99"/>
      <c r="E57" s="100"/>
      <c r="N57" s="102"/>
      <c r="Q57"/>
      <c r="V57" s="105"/>
    </row>
    <row r="58" spans="4:28">
      <c r="N58" s="11"/>
      <c r="Q58"/>
      <c r="V58" s="105"/>
    </row>
    <row r="59" spans="4:28" ht="12">
      <c r="D59" s="99"/>
      <c r="E59" s="99"/>
      <c r="N59" s="11"/>
      <c r="Q59" s="27"/>
      <c r="V59" s="105"/>
    </row>
    <row r="60" spans="4:28" ht="12">
      <c r="D60" s="99"/>
      <c r="E60" s="220"/>
      <c r="N60" s="154"/>
      <c r="V60" s="105"/>
    </row>
    <row r="61" spans="4:28" ht="12">
      <c r="D61" s="99"/>
      <c r="E61" s="99"/>
      <c r="N61" s="11"/>
      <c r="V61" s="105"/>
    </row>
    <row r="62" spans="4:28" ht="12">
      <c r="D62" s="99"/>
      <c r="E62" s="99"/>
      <c r="V62" s="105"/>
    </row>
    <row r="63" spans="4:28">
      <c r="M63" s="254"/>
      <c r="N63" s="254"/>
      <c r="O63" s="1"/>
      <c r="P63" s="1"/>
    </row>
  </sheetData>
  <mergeCells count="6">
    <mergeCell ref="A35:B35"/>
    <mergeCell ref="M63:N63"/>
    <mergeCell ref="M43:M45"/>
    <mergeCell ref="O8:P8"/>
    <mergeCell ref="O13:P13"/>
    <mergeCell ref="G21:G22"/>
  </mergeCells>
  <phoneticPr fontId="12"/>
  <printOptions gridLines="1" gridLinesSet="0"/>
  <pageMargins left="0.25" right="0.25" top="0.75" bottom="0.39" header="0.3" footer="0.18"/>
  <pageSetup paperSize="9" scale="69" orientation="landscape" horizontalDpi="4294967292" r:id="rId1"/>
  <headerFooter alignWithMargins="0">
    <oddHeader>&amp;R&amp;D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Button 2">
              <controlPr defaultSize="0" print="0" autoFill="0" autoLine="0" autoPict="0" macro="[0]!Macro2">
                <anchor moveWithCells="1" sizeWithCells="1">
                  <from>
                    <xdr:col>3</xdr:col>
                    <xdr:colOff>1066800</xdr:colOff>
                    <xdr:row>0</xdr:row>
                    <xdr:rowOff>30480</xdr:rowOff>
                  </from>
                  <to>
                    <xdr:col>4</xdr:col>
                    <xdr:colOff>0</xdr:colOff>
                    <xdr:row>2</xdr:row>
                    <xdr:rowOff>106680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4"/>
  <sheetViews>
    <sheetView workbookViewId="0">
      <selection activeCell="B8" sqref="B8"/>
    </sheetView>
  </sheetViews>
  <sheetFormatPr defaultColWidth="9.375" defaultRowHeight="10.8"/>
  <cols>
    <col min="1" max="1" width="27.125" style="2" customWidth="1"/>
    <col min="2" max="2" width="13.125" style="2" customWidth="1"/>
    <col min="3" max="3" width="9.375" style="2"/>
    <col min="4" max="4" width="34.125" style="2" customWidth="1"/>
    <col min="5" max="5" width="13.5" style="2" customWidth="1"/>
    <col min="6" max="6" width="14.125" style="2" customWidth="1"/>
    <col min="7" max="7" width="9.375" style="2"/>
    <col min="8" max="8" width="15.125" style="2" customWidth="1"/>
    <col min="9" max="9" width="12.625" style="2" customWidth="1"/>
    <col min="10" max="10" width="13.5" style="2" customWidth="1"/>
    <col min="11" max="11" width="9.375" style="2"/>
    <col min="12" max="12" width="4.125" style="2" customWidth="1"/>
    <col min="13" max="16384" width="9.375" style="2"/>
  </cols>
  <sheetData>
    <row r="1" spans="1:10">
      <c r="A1" s="262" t="str">
        <f>MAIN!A1</f>
        <v>FAN COOL MODEL</v>
      </c>
      <c r="E1" s="74" t="s">
        <v>124</v>
      </c>
      <c r="F1" s="261">
        <f>MAIN!E38</f>
        <v>0.59056461016656658</v>
      </c>
      <c r="G1" s="74" t="s">
        <v>113</v>
      </c>
      <c r="H1" s="264">
        <f>MAIN!B5</f>
        <v>-18</v>
      </c>
      <c r="I1" s="74" t="s">
        <v>117</v>
      </c>
      <c r="J1" s="265">
        <f>MAIN!E37</f>
        <v>-21.248300629797299</v>
      </c>
    </row>
    <row r="2" spans="1:10">
      <c r="A2" s="262" t="str">
        <f>MAIN!A2</f>
        <v>&lt;  SJ-540   &gt;</v>
      </c>
      <c r="G2" s="74" t="s">
        <v>114</v>
      </c>
      <c r="H2" s="264">
        <f>MAIN!B6</f>
        <v>3</v>
      </c>
      <c r="I2" s="74" t="s">
        <v>123</v>
      </c>
      <c r="J2" s="266">
        <f>MAIN!I50</f>
        <v>33.474601753772482</v>
      </c>
    </row>
    <row r="3" spans="1:10">
      <c r="E3" s="44" t="s">
        <v>130</v>
      </c>
      <c r="F3" s="263">
        <f>50*F1+H4</f>
        <v>59.528230508328328</v>
      </c>
      <c r="G3" s="74" t="s">
        <v>115</v>
      </c>
      <c r="H3" s="264">
        <f>MAIN!B7</f>
        <v>40.90551469703945</v>
      </c>
      <c r="I3" s="74" t="s">
        <v>121</v>
      </c>
      <c r="J3" s="266">
        <f>MAIN!I51</f>
        <v>32.685651401896436</v>
      </c>
    </row>
    <row r="4" spans="1:10">
      <c r="A4" s="4" t="s">
        <v>26</v>
      </c>
      <c r="B4" s="1" t="s">
        <v>27</v>
      </c>
      <c r="G4" s="74" t="s">
        <v>116</v>
      </c>
      <c r="H4" s="264">
        <f>MAIN!B8</f>
        <v>30</v>
      </c>
      <c r="I4" s="74" t="s">
        <v>122</v>
      </c>
      <c r="J4" s="266">
        <f>(H3-H4)*F1+H4</f>
        <v>36.440411035722867</v>
      </c>
    </row>
    <row r="5" spans="1:10" ht="12.75" customHeight="1">
      <c r="A5" s="4" t="s">
        <v>28</v>
      </c>
      <c r="D5" s="4" t="s">
        <v>76</v>
      </c>
      <c r="H5" s="1" t="s">
        <v>107</v>
      </c>
    </row>
    <row r="6" spans="1:10" ht="21.75" customHeight="1">
      <c r="A6" s="62" t="s">
        <v>94</v>
      </c>
      <c r="B6" s="55">
        <v>1680</v>
      </c>
      <c r="C6" s="2">
        <v>0</v>
      </c>
      <c r="D6" s="19" t="s">
        <v>29</v>
      </c>
      <c r="E6" s="20" t="s">
        <v>30</v>
      </c>
      <c r="F6" s="47" t="s">
        <v>31</v>
      </c>
      <c r="G6" s="48" t="s">
        <v>32</v>
      </c>
      <c r="H6" s="49" t="s">
        <v>33</v>
      </c>
      <c r="I6" s="47" t="s">
        <v>34</v>
      </c>
      <c r="J6" s="47" t="s">
        <v>35</v>
      </c>
    </row>
    <row r="7" spans="1:10">
      <c r="A7" s="51" t="s">
        <v>96</v>
      </c>
      <c r="B7" s="57">
        <v>550</v>
      </c>
      <c r="D7" s="5" t="s">
        <v>36</v>
      </c>
      <c r="E7" s="267">
        <f t="shared" ref="E7:E12" si="0">H7*(J7-I7)</f>
        <v>4.8599298701298697</v>
      </c>
      <c r="F7" s="268">
        <f>(B$9-(B$18+B$19)/2)*(B10-B$22/2)*10^(-6)</f>
        <v>0.44435999999999998</v>
      </c>
      <c r="G7" s="269">
        <f>1/(1/B$40+1/B$41+B17/1000/(B$34+0.00011*(I7+J7)/2))</f>
        <v>0.22785250463821891</v>
      </c>
      <c r="H7" s="269">
        <f t="shared" ref="H7:H12" si="1">G7*F7</f>
        <v>0.10124853896103894</v>
      </c>
      <c r="I7" s="270">
        <f>H1</f>
        <v>-18</v>
      </c>
      <c r="J7" s="270">
        <f>H4</f>
        <v>30</v>
      </c>
    </row>
    <row r="8" spans="1:10">
      <c r="A8" s="51" t="s">
        <v>95</v>
      </c>
      <c r="B8" s="276">
        <f>B6-B7</f>
        <v>1130</v>
      </c>
      <c r="D8" s="7" t="s">
        <v>37</v>
      </c>
      <c r="E8" s="271">
        <f t="shared" si="0"/>
        <v>3.4576435347090997</v>
      </c>
      <c r="F8" s="272">
        <f>(B10-B22/2)*(B7-(B17+B20)/2)*10^(-6)</f>
        <v>0.29117999999999999</v>
      </c>
      <c r="G8" s="273">
        <f>1/(1/B$40+1/B$41+B18/1000/(B$34+0.00011*(I8+J8)/2))</f>
        <v>0.23068835955425898</v>
      </c>
      <c r="H8" s="273">
        <f t="shared" si="1"/>
        <v>6.7171836535009133E-2</v>
      </c>
      <c r="I8" s="274">
        <f>H1</f>
        <v>-18</v>
      </c>
      <c r="J8" s="274">
        <f>J2</f>
        <v>33.474601753772482</v>
      </c>
    </row>
    <row r="9" spans="1:10">
      <c r="A9" s="51" t="s">
        <v>97</v>
      </c>
      <c r="B9" s="57">
        <v>800</v>
      </c>
      <c r="D9" s="7" t="s">
        <v>38</v>
      </c>
      <c r="E9" s="271">
        <f t="shared" si="0"/>
        <v>3.4576435347090997</v>
      </c>
      <c r="F9" s="272">
        <f>F8</f>
        <v>0.29117999999999999</v>
      </c>
      <c r="G9" s="273">
        <f>1/(1/B$40+1/B$41+B19/1000/(B$34+0.00011*(I9+J9)/2))</f>
        <v>0.23068835955425898</v>
      </c>
      <c r="H9" s="273">
        <f t="shared" si="1"/>
        <v>6.7171836535009133E-2</v>
      </c>
      <c r="I9" s="274">
        <f>H1</f>
        <v>-18</v>
      </c>
      <c r="J9" s="274">
        <f>J2</f>
        <v>33.474601753772482</v>
      </c>
    </row>
    <row r="10" spans="1:10">
      <c r="A10" s="63" t="s">
        <v>98</v>
      </c>
      <c r="B10" s="57">
        <v>630</v>
      </c>
      <c r="D10" s="7" t="s">
        <v>39</v>
      </c>
      <c r="E10" s="271">
        <f t="shared" si="0"/>
        <v>1.6616437693738373</v>
      </c>
      <c r="F10" s="272">
        <f>(B10-B22/2)*(B9-(B18+B19)/2)*10^(-6)</f>
        <v>0.44435999999999998</v>
      </c>
      <c r="G10" s="273">
        <f>1/(1/B$41+1/B$41+B20/1000/(B$34+0.00011*(I10+J10)/2))</f>
        <v>0.17806709375215263</v>
      </c>
      <c r="H10" s="273">
        <f t="shared" si="1"/>
        <v>7.9125893779706538E-2</v>
      </c>
      <c r="I10" s="274">
        <f>H1</f>
        <v>-18</v>
      </c>
      <c r="J10" s="274">
        <f>H2</f>
        <v>3</v>
      </c>
    </row>
    <row r="11" spans="1:10">
      <c r="A11" s="51" t="s">
        <v>101</v>
      </c>
      <c r="B11" s="56">
        <v>260</v>
      </c>
      <c r="D11" s="7" t="s">
        <v>40</v>
      </c>
      <c r="E11" s="271">
        <f t="shared" si="0"/>
        <v>4.3370357142857134</v>
      </c>
      <c r="F11" s="272">
        <f>(B7-B14/2-B36*2)*(B9-B36*2)*10^(-6)</f>
        <v>0.39654999999999996</v>
      </c>
      <c r="G11" s="273">
        <f>1/(1/B$40+1/B$41+B21/1000/(B$34+0.00011*(I11+J11)/2))</f>
        <v>0.22785250463821891</v>
      </c>
      <c r="H11" s="273">
        <f t="shared" si="1"/>
        <v>9.0354910714285697E-2</v>
      </c>
      <c r="I11" s="274">
        <f>H1</f>
        <v>-18</v>
      </c>
      <c r="J11" s="274">
        <f>H4</f>
        <v>30</v>
      </c>
    </row>
    <row r="12" spans="1:10">
      <c r="A12" s="51" t="s">
        <v>99</v>
      </c>
      <c r="B12" s="56">
        <v>210</v>
      </c>
      <c r="D12" s="7" t="s">
        <v>82</v>
      </c>
      <c r="E12" s="271">
        <f t="shared" si="0"/>
        <v>4.3344000000000005</v>
      </c>
      <c r="F12" s="275">
        <f>((B7-B36*2)+(B9-B36*2))*2*10^(-3)</f>
        <v>2.58</v>
      </c>
      <c r="G12" s="273">
        <f>B37</f>
        <v>3.5000000000000003E-2</v>
      </c>
      <c r="H12" s="273">
        <f t="shared" si="1"/>
        <v>9.0300000000000005E-2</v>
      </c>
      <c r="I12" s="274">
        <f>H1</f>
        <v>-18</v>
      </c>
      <c r="J12" s="274">
        <f>H4</f>
        <v>30</v>
      </c>
    </row>
    <row r="13" spans="1:10">
      <c r="A13" s="51" t="s">
        <v>100</v>
      </c>
      <c r="B13" s="56">
        <v>230</v>
      </c>
      <c r="D13" s="7" t="s">
        <v>81</v>
      </c>
      <c r="E13" s="271">
        <f>(0.1219*(H3-H1)*F1+0.1219*((0.1984*H4+0.1219*H1)/(0.1984+0.1219)-H1)*(1-F1))*F13</f>
        <v>3.8995521122313104</v>
      </c>
      <c r="F13" s="275">
        <f>(B9-B18-B19)*10^(-3)</f>
        <v>0.68120000000000003</v>
      </c>
      <c r="G13" s="87" t="s">
        <v>41</v>
      </c>
      <c r="H13" s="87" t="s">
        <v>41</v>
      </c>
      <c r="I13" s="88" t="s">
        <v>41</v>
      </c>
      <c r="J13" s="88" t="s">
        <v>41</v>
      </c>
    </row>
    <row r="14" spans="1:10">
      <c r="A14" s="52" t="s">
        <v>142</v>
      </c>
      <c r="B14" s="58">
        <v>10</v>
      </c>
      <c r="D14" s="7" t="s">
        <v>80</v>
      </c>
      <c r="E14" s="271">
        <f>(0.0791*(MAIN!B7-MAIN!B5)-0.072*(MAIN!B8-MAIN!B5))*F14*MAIN!E38</f>
        <v>1.3503317709338456</v>
      </c>
      <c r="F14" s="277">
        <f>(B7*2+B9)*10^(-3)</f>
        <v>1.9000000000000001</v>
      </c>
      <c r="G14" s="89" t="s">
        <v>41</v>
      </c>
      <c r="H14" s="89" t="s">
        <v>41</v>
      </c>
      <c r="I14" s="90" t="s">
        <v>41</v>
      </c>
      <c r="J14" s="90" t="s">
        <v>41</v>
      </c>
    </row>
    <row r="15" spans="1:10">
      <c r="A15"/>
      <c r="B15" s="54"/>
      <c r="D15" s="5" t="s">
        <v>42</v>
      </c>
      <c r="E15" s="267">
        <f t="shared" ref="E15:E23" si="2">H15*(J15-I15)</f>
        <v>-1.6616437693738373</v>
      </c>
      <c r="F15" s="268">
        <f>(B$9-(B$18+B$19)/2)*(B10-B$22/2)*10^(-6)</f>
        <v>0.44435999999999998</v>
      </c>
      <c r="G15" s="269">
        <f>1/(1/B$41+1/B$41+B23/1000/(B$34+0.00011*(I15+J15)/2))</f>
        <v>0.17806709375215263</v>
      </c>
      <c r="H15" s="269">
        <f t="shared" ref="H15:H23" si="3">G15*F15</f>
        <v>7.9125893779706538E-2</v>
      </c>
      <c r="I15" s="270">
        <f>H2</f>
        <v>3</v>
      </c>
      <c r="J15" s="270">
        <f>H1</f>
        <v>-18</v>
      </c>
    </row>
    <row r="16" spans="1:10">
      <c r="A16" s="4" t="s">
        <v>45</v>
      </c>
      <c r="B16" s="29"/>
      <c r="D16" s="7" t="s">
        <v>43</v>
      </c>
      <c r="E16" s="271">
        <f t="shared" si="2"/>
        <v>6.3852539475853485</v>
      </c>
      <c r="F16" s="272">
        <f>((B8-(B20+B27)/2)*(B10-B26/2)-((B13+B12)*B11/2))*10^(-6)</f>
        <v>0.58779999999999999</v>
      </c>
      <c r="G16" s="273">
        <f t="shared" ref="G16:G22" si="4">1/(1/B$40+1/B$41+B24/1000/(B$34+0.00011*(I16+J16)/2))</f>
        <v>0.35645979549442208</v>
      </c>
      <c r="H16" s="273">
        <f t="shared" si="3"/>
        <v>0.20952706779162131</v>
      </c>
      <c r="I16" s="274">
        <f>H2</f>
        <v>3</v>
      </c>
      <c r="J16" s="274">
        <f>J2</f>
        <v>33.474601753772482</v>
      </c>
    </row>
    <row r="17" spans="1:10">
      <c r="A17" s="62" t="s">
        <v>36</v>
      </c>
      <c r="B17" s="55">
        <v>59.4</v>
      </c>
      <c r="D17" s="7" t="s">
        <v>44</v>
      </c>
      <c r="E17" s="271">
        <f t="shared" si="2"/>
        <v>6.3852539475853485</v>
      </c>
      <c r="F17" s="272">
        <f>F16</f>
        <v>0.58779999999999999</v>
      </c>
      <c r="G17" s="273">
        <f t="shared" si="4"/>
        <v>0.35645979549442208</v>
      </c>
      <c r="H17" s="273">
        <f t="shared" si="3"/>
        <v>0.20952706779162131</v>
      </c>
      <c r="I17" s="274">
        <f>H2</f>
        <v>3</v>
      </c>
      <c r="J17" s="274">
        <f>J2</f>
        <v>33.474601753772482</v>
      </c>
    </row>
    <row r="18" spans="1:10">
      <c r="A18" s="51" t="s">
        <v>37</v>
      </c>
      <c r="B18" s="57">
        <v>59.4</v>
      </c>
      <c r="D18" s="7" t="s">
        <v>47</v>
      </c>
      <c r="E18" s="271">
        <f t="shared" si="2"/>
        <v>7.0618374578837111</v>
      </c>
      <c r="F18" s="272">
        <f>(B8-(B20+B27)/2-B11)*(B9-(B24+B25)/2)*10^(-6)</f>
        <v>0.61939999999999995</v>
      </c>
      <c r="G18" s="273">
        <f t="shared" si="4"/>
        <v>0.2565599171078547</v>
      </c>
      <c r="H18" s="273">
        <f>G18*F18</f>
        <v>0.15891321265660519</v>
      </c>
      <c r="I18" s="274">
        <f>H2</f>
        <v>3</v>
      </c>
      <c r="J18" s="274">
        <f>(F3-H4)*F1+H4</f>
        <v>47.438327939059434</v>
      </c>
    </row>
    <row r="19" spans="1:10">
      <c r="A19" s="51" t="s">
        <v>38</v>
      </c>
      <c r="B19" s="57">
        <v>59.4</v>
      </c>
      <c r="C19" s="22"/>
      <c r="D19" s="7" t="s">
        <v>135</v>
      </c>
      <c r="E19" s="271">
        <f t="shared" si="2"/>
        <v>2.6391420959020806</v>
      </c>
      <c r="F19" s="272">
        <f>(B9-(B24+B25)/2)*B12*10^(-6)</f>
        <v>0.15959999999999999</v>
      </c>
      <c r="G19" s="273">
        <f t="shared" si="4"/>
        <v>0.37211071638824689</v>
      </c>
      <c r="H19" s="273">
        <f t="shared" si="3"/>
        <v>5.9388870335564198E-2</v>
      </c>
      <c r="I19" s="274">
        <f>H2</f>
        <v>3</v>
      </c>
      <c r="J19" s="274">
        <f>J18</f>
        <v>47.438327939059434</v>
      </c>
    </row>
    <row r="20" spans="1:10">
      <c r="A20" s="51" t="s">
        <v>49</v>
      </c>
      <c r="B20" s="56">
        <v>70</v>
      </c>
      <c r="C20" s="22"/>
      <c r="D20" s="7" t="s">
        <v>136</v>
      </c>
      <c r="E20" s="271">
        <f t="shared" si="2"/>
        <v>3.2771621903383625</v>
      </c>
      <c r="F20" s="272">
        <f>(B9-(B24+B25)/2)*(SQRT(B11^2+(B13-B12)^2))*10^(-6)</f>
        <v>0.1981837531181605</v>
      </c>
      <c r="G20" s="273">
        <f t="shared" si="4"/>
        <v>0.37211071638824689</v>
      </c>
      <c r="H20" s="273">
        <f t="shared" si="3"/>
        <v>7.3746298349310166E-2</v>
      </c>
      <c r="I20" s="274">
        <f>H2</f>
        <v>3</v>
      </c>
      <c r="J20" s="274">
        <f>J18</f>
        <v>47.438327939059434</v>
      </c>
    </row>
    <row r="21" spans="1:10">
      <c r="A21" s="51" t="s">
        <v>40</v>
      </c>
      <c r="B21" s="57">
        <v>59.4</v>
      </c>
      <c r="C21" s="22"/>
      <c r="D21" s="7" t="s">
        <v>137</v>
      </c>
      <c r="E21" s="271">
        <f t="shared" si="2"/>
        <v>1.6638610364509407</v>
      </c>
      <c r="F21" s="272">
        <f>(B9-(B24+B25)/2)*B13*10^(-6)</f>
        <v>0.17479999999999998</v>
      </c>
      <c r="G21" s="273">
        <f t="shared" si="4"/>
        <v>0.35254280796061971</v>
      </c>
      <c r="H21" s="273">
        <f t="shared" si="3"/>
        <v>6.1624482831516322E-2</v>
      </c>
      <c r="I21" s="274">
        <f>H2</f>
        <v>3</v>
      </c>
      <c r="J21" s="274">
        <f>H4</f>
        <v>30</v>
      </c>
    </row>
    <row r="22" spans="1:10">
      <c r="A22" s="51" t="s">
        <v>50</v>
      </c>
      <c r="B22" s="56">
        <v>60</v>
      </c>
      <c r="C22" s="22"/>
      <c r="D22" s="7" t="s">
        <v>46</v>
      </c>
      <c r="E22" s="271">
        <f t="shared" si="2"/>
        <v>8.5667902334430579</v>
      </c>
      <c r="F22" s="272">
        <f>(B9-B43*2)*(B8-B14/2-B43*2)*10^(-6)</f>
        <v>0.89999999999999991</v>
      </c>
      <c r="G22" s="273">
        <f t="shared" si="4"/>
        <v>0.35254280796061971</v>
      </c>
      <c r="H22" s="273">
        <f t="shared" si="3"/>
        <v>0.31728852716455769</v>
      </c>
      <c r="I22" s="274">
        <f>H2</f>
        <v>3</v>
      </c>
      <c r="J22" s="274">
        <f>H4</f>
        <v>30</v>
      </c>
    </row>
    <row r="23" spans="1:10">
      <c r="A23" s="81" t="s">
        <v>51</v>
      </c>
      <c r="B23" s="56">
        <v>70</v>
      </c>
      <c r="C23" s="22"/>
      <c r="D23" s="7" t="s">
        <v>48</v>
      </c>
      <c r="E23" s="271">
        <f t="shared" si="2"/>
        <v>3.5343000000000004</v>
      </c>
      <c r="F23" s="275">
        <f>((B8-B36*2)+(B9-B36*2))*2*10^(-3)</f>
        <v>3.74</v>
      </c>
      <c r="G23" s="273">
        <f>B37</f>
        <v>3.5000000000000003E-2</v>
      </c>
      <c r="H23" s="273">
        <f t="shared" si="3"/>
        <v>0.13090000000000002</v>
      </c>
      <c r="I23" s="274">
        <f>H2</f>
        <v>3</v>
      </c>
      <c r="J23" s="274">
        <f>H4</f>
        <v>30</v>
      </c>
    </row>
    <row r="24" spans="1:10">
      <c r="A24" s="81" t="s">
        <v>43</v>
      </c>
      <c r="B24" s="56">
        <v>40</v>
      </c>
      <c r="C24" s="22"/>
      <c r="D24" s="7" t="s">
        <v>83</v>
      </c>
      <c r="E24" s="271">
        <f>(0.0546*(MAIN!B7-MAIN!B5)-0.0491*(MAIN!B8-MAIN!B5))*F24*MAIN!E38</f>
        <v>1.553119828881393</v>
      </c>
      <c r="F24" s="275">
        <f>(B8*2+B9)*10^(-3)</f>
        <v>3.06</v>
      </c>
      <c r="G24" s="87" t="s">
        <v>41</v>
      </c>
      <c r="H24" s="87" t="s">
        <v>41</v>
      </c>
      <c r="I24" s="88" t="s">
        <v>41</v>
      </c>
      <c r="J24" s="88" t="s">
        <v>41</v>
      </c>
    </row>
    <row r="25" spans="1:10">
      <c r="A25" s="81" t="s">
        <v>44</v>
      </c>
      <c r="B25" s="56">
        <v>40</v>
      </c>
      <c r="D25" s="9" t="s">
        <v>131</v>
      </c>
      <c r="E25" s="91">
        <v>0</v>
      </c>
      <c r="F25" s="52"/>
      <c r="G25" s="52"/>
      <c r="H25" s="52"/>
      <c r="I25" s="52"/>
      <c r="J25" s="52"/>
    </row>
    <row r="26" spans="1:10">
      <c r="A26" s="81" t="s">
        <v>47</v>
      </c>
      <c r="B26" s="56">
        <v>60</v>
      </c>
      <c r="D26" s="5" t="s">
        <v>50</v>
      </c>
      <c r="E26" s="267">
        <f>H26*(J26-I26)</f>
        <v>4.3664821381629721</v>
      </c>
      <c r="F26" s="278">
        <f>(B9-(B18+B19)/2)*(B7-(B17+B20)/2)*10^(-6)</f>
        <v>0.35941318</v>
      </c>
      <c r="G26" s="279">
        <f>1/(1/B$40+1/B$41+B22/1000/(B$34+0.00011*(I26+J26)/2))</f>
        <v>0.22525552102343088</v>
      </c>
      <c r="H26" s="279">
        <f>G26*F26</f>
        <v>8.095980312358815E-2</v>
      </c>
      <c r="I26" s="280">
        <f>J1</f>
        <v>-21.248300629797299</v>
      </c>
      <c r="J26" s="280">
        <f>J3</f>
        <v>32.685651401896436</v>
      </c>
    </row>
    <row r="27" spans="1:10">
      <c r="A27" s="81" t="s">
        <v>138</v>
      </c>
      <c r="B27" s="56">
        <v>40</v>
      </c>
      <c r="D27" s="7" t="s">
        <v>78</v>
      </c>
      <c r="E27" s="271">
        <f>MAIN!B14*0.86*MAIN!E38</f>
        <v>1.0665596859608193</v>
      </c>
      <c r="F27" s="51"/>
      <c r="G27" s="51"/>
      <c r="H27" s="51"/>
      <c r="I27" s="51"/>
      <c r="J27" s="51"/>
    </row>
    <row r="28" spans="1:10">
      <c r="A28" s="81" t="s">
        <v>139</v>
      </c>
      <c r="B28" s="56">
        <v>40</v>
      </c>
      <c r="D28" s="9" t="s">
        <v>52</v>
      </c>
      <c r="E28" s="281">
        <f>MAIN!B15*0.86*MAIN!B19/60/24</f>
        <v>0</v>
      </c>
      <c r="F28" s="52"/>
      <c r="G28" s="52"/>
      <c r="H28" s="52"/>
      <c r="I28" s="52"/>
      <c r="J28" s="52"/>
    </row>
    <row r="29" spans="1:10">
      <c r="A29" s="81" t="s">
        <v>140</v>
      </c>
      <c r="B29" s="56">
        <v>40</v>
      </c>
    </row>
    <row r="30" spans="1:10">
      <c r="A30" s="81" t="s">
        <v>46</v>
      </c>
      <c r="B30" s="56">
        <v>40</v>
      </c>
    </row>
    <row r="31" spans="1:10">
      <c r="A31" s="52"/>
      <c r="B31" s="52"/>
    </row>
    <row r="32" spans="1:10" ht="12.75" customHeight="1">
      <c r="A32" s="4" t="s">
        <v>77</v>
      </c>
      <c r="B32" s="23" t="s">
        <v>53</v>
      </c>
      <c r="D32" s="5" t="s">
        <v>3</v>
      </c>
      <c r="E32" s="282">
        <f>SUM(E7:E14)</f>
        <v>27.358180306372777</v>
      </c>
    </row>
    <row r="33" spans="1:6" ht="12.75" customHeight="1">
      <c r="A33" s="62" t="s">
        <v>54</v>
      </c>
      <c r="B33" s="82">
        <v>1.6500000000000001E-2</v>
      </c>
      <c r="D33" s="7" t="s">
        <v>5</v>
      </c>
      <c r="E33" s="283">
        <f>SUM(E15:E25)</f>
        <v>39.405076968696406</v>
      </c>
    </row>
    <row r="34" spans="1:6">
      <c r="A34" s="51" t="s">
        <v>60</v>
      </c>
      <c r="B34" s="273">
        <f>B33-0.00011*25</f>
        <v>1.375E-2</v>
      </c>
      <c r="D34" s="7" t="s">
        <v>6</v>
      </c>
      <c r="E34" s="283">
        <f>SUM(E26:E28)</f>
        <v>5.4330418241237917</v>
      </c>
    </row>
    <row r="35" spans="1:6">
      <c r="A35" s="51" t="s">
        <v>128</v>
      </c>
      <c r="B35" s="50">
        <v>3.5000000000000003E-2</v>
      </c>
      <c r="D35" s="9" t="s">
        <v>12</v>
      </c>
      <c r="E35" s="284">
        <f>SUM(E32:E34)</f>
        <v>72.19629909919297</v>
      </c>
    </row>
    <row r="36" spans="1:6">
      <c r="A36" s="51" t="s">
        <v>125</v>
      </c>
      <c r="B36" s="83">
        <v>15</v>
      </c>
    </row>
    <row r="37" spans="1:6">
      <c r="A37" s="52" t="s">
        <v>55</v>
      </c>
      <c r="B37" s="84">
        <v>3.5000000000000003E-2</v>
      </c>
    </row>
    <row r="39" spans="1:6">
      <c r="A39" s="4" t="s">
        <v>79</v>
      </c>
      <c r="B39" s="21" t="s">
        <v>56</v>
      </c>
    </row>
    <row r="40" spans="1:6">
      <c r="A40" s="5" t="s">
        <v>57</v>
      </c>
      <c r="B40" s="24">
        <v>6</v>
      </c>
    </row>
    <row r="41" spans="1:6">
      <c r="A41" s="9" t="s">
        <v>58</v>
      </c>
      <c r="B41" s="17">
        <v>10</v>
      </c>
    </row>
    <row r="43" spans="1:6">
      <c r="D43" s="2" t="s">
        <v>87</v>
      </c>
    </row>
    <row r="44" spans="1:6">
      <c r="D44" s="45" t="s">
        <v>88</v>
      </c>
      <c r="E44" s="285">
        <f>(B9-B18-B19)*(B7-B17-B20/2)*(B10-B22)/1000000</f>
        <v>176.90219039999999</v>
      </c>
      <c r="F44" s="45">
        <v>59</v>
      </c>
    </row>
    <row r="45" spans="1:6">
      <c r="D45" s="46" t="s">
        <v>129</v>
      </c>
      <c r="E45" s="286">
        <f>((B9-B24-B25)*(B8-B20/2-B27)*(B10-B26)-(B12+B13)*B11/2*(B9-B18-B19))/1000000</f>
        <v>394.00736000000001</v>
      </c>
      <c r="F45" s="46">
        <v>125</v>
      </c>
    </row>
    <row r="46" spans="1:6">
      <c r="D46" s="44" t="s">
        <v>89</v>
      </c>
      <c r="E46" s="287">
        <f>E44+E45</f>
        <v>570.90955039999994</v>
      </c>
      <c r="F46" s="287">
        <f>F44+F45</f>
        <v>184</v>
      </c>
    </row>
    <row r="49" spans="1:6">
      <c r="D49" s="2" t="s">
        <v>90</v>
      </c>
    </row>
    <row r="50" spans="1:6">
      <c r="D50" s="45" t="s">
        <v>91</v>
      </c>
      <c r="E50" s="285">
        <f>E44-(60+25)*(B9-B18-B19)*(B7-B17-B20/2)/1000000</f>
        <v>150.52203919999999</v>
      </c>
      <c r="F50" s="45">
        <v>48</v>
      </c>
    </row>
    <row r="51" spans="1:6">
      <c r="D51" s="46" t="s">
        <v>92</v>
      </c>
      <c r="E51" s="286">
        <f>E45-(B9-B18-B19)*60*300/1000000</f>
        <v>381.74576000000002</v>
      </c>
      <c r="F51" s="46">
        <v>120</v>
      </c>
    </row>
    <row r="52" spans="1:6">
      <c r="D52" s="44" t="s">
        <v>93</v>
      </c>
      <c r="E52" s="287">
        <f>E50+E51</f>
        <v>532.26779920000001</v>
      </c>
      <c r="F52" s="287">
        <f>F50+F51</f>
        <v>168</v>
      </c>
    </row>
    <row r="53" spans="1:6">
      <c r="A53" s="2" t="s">
        <v>126</v>
      </c>
    </row>
    <row r="54" spans="1:6">
      <c r="B54" s="2" t="s">
        <v>127</v>
      </c>
    </row>
  </sheetData>
  <phoneticPr fontId="12"/>
  <printOptions gridLines="1" gridLinesSet="0"/>
  <pageMargins left="0.57999999999999996" right="0.39370078740157483" top="0.37" bottom="0.2" header="0.49" footer="0.51181102362204722"/>
  <pageSetup paperSize="9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</vt:lpstr>
      <vt:lpstr>SIZE</vt:lpstr>
      <vt:lpstr>熱負荷分布</vt:lpstr>
      <vt:lpstr>SIZE!Print_Area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統合ＯＡ</dc:creator>
  <cp:lastModifiedBy>Office</cp:lastModifiedBy>
  <cp:lastPrinted>2014-12-18T01:43:53Z</cp:lastPrinted>
  <dcterms:created xsi:type="dcterms:W3CDTF">1998-05-07T08:32:09Z</dcterms:created>
  <dcterms:modified xsi:type="dcterms:W3CDTF">2026-05-07T11:53:54Z</dcterms:modified>
</cp:coreProperties>
</file>