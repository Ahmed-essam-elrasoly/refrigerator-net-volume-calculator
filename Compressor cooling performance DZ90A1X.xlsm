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7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8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0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11.xml" ContentType="application/vnd.openxmlformats-officedocument.drawingml.chart+xml"/>
  <Override PartName="/xl/drawings/drawing2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05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refrigerator-volume-calculator\"/>
    </mc:Choice>
  </mc:AlternateContent>
  <xr:revisionPtr revIDLastSave="0" documentId="13_ncr:1_{307B6BBC-46C5-40A5-A923-4BAB15E533D7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  <workbookView xWindow="-108" yWindow="-108" windowWidth="23256" windowHeight="12456" xr2:uid="{438D3FEB-D10C-45BA-A9A6-BE52044EF649}"/>
  </bookViews>
  <sheets>
    <sheet name="Sheet6" sheetId="26" r:id="rId1"/>
    <sheet name="Collect" sheetId="25" r:id="rId2"/>
    <sheet name="DATA 4320" sheetId="22" r:id="rId3"/>
    <sheet name="DATA 3000" sheetId="23" r:id="rId4"/>
    <sheet name="DATA 1620" sheetId="21" r:id="rId5"/>
    <sheet name="DATA 1320" sheetId="1" r:id="rId6"/>
    <sheet name="Volumetric efficiency" sheetId="14" state="hidden" r:id="rId7"/>
    <sheet name="Chart2" sheetId="20" state="hidden" r:id="rId8"/>
    <sheet name="Chart1" sheetId="19" state="hidden" r:id="rId9"/>
    <sheet name="Cooling capacity" sheetId="15" state="hidden" r:id="rId10"/>
    <sheet name="Input" sheetId="16" state="hidden" r:id="rId11"/>
    <sheet name="入力Ｗ" sheetId="4" state="hidden" r:id="rId12"/>
    <sheet name="冷凍能力" sheetId="5" state="hidden" r:id="rId13"/>
    <sheet name="COP" sheetId="12" state="hidden" r:id="rId14"/>
    <sheet name="冷蔵庫条件冷凍能力" sheetId="6" state="hidden" r:id="rId15"/>
    <sheet name="冷蔵庫条件COP" sheetId="10" state="hidden" r:id="rId16"/>
    <sheet name="冷蔵庫条件ＣＯＰ　比較" sheetId="17" state="hidden" r:id="rId17"/>
    <sheet name="Module1" sheetId="2" state="veryHidden" r:id=""/>
    <sheet name="Module2" sheetId="3" state="veryHidden" r:id=""/>
    <sheet name="Sheet1" sheetId="18" state="hidden" r:id="rId18"/>
  </sheets>
  <definedNames>
    <definedName name="_xlnm.Print_Titles" localSheetId="5">'DATA 1320'!#REF!</definedName>
    <definedName name="_xlnm.Print_Titles" localSheetId="4">'DATA 1620'!#REF!</definedName>
    <definedName name="_xlnm.Print_Titles" localSheetId="3">'DATA 3000'!#REF!</definedName>
    <definedName name="_xlnm.Print_Titles" localSheetId="2">'DATA 4320'!#REF!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26" l="1"/>
  <c r="H4" i="26"/>
  <c r="G5" i="26"/>
  <c r="H5" i="26"/>
  <c r="G6" i="26"/>
  <c r="H6" i="26"/>
  <c r="G7" i="26"/>
  <c r="H7" i="26"/>
  <c r="G8" i="26"/>
  <c r="H8" i="26"/>
  <c r="G9" i="26"/>
  <c r="H9" i="26"/>
  <c r="G10" i="26"/>
  <c r="H10" i="26"/>
  <c r="G11" i="26"/>
  <c r="H11" i="26"/>
  <c r="G12" i="26"/>
  <c r="H12" i="26"/>
  <c r="G13" i="26"/>
  <c r="H13" i="26"/>
  <c r="G14" i="26"/>
  <c r="H14" i="26"/>
  <c r="G15" i="26"/>
  <c r="H15" i="26"/>
  <c r="G16" i="26"/>
  <c r="H16" i="26"/>
  <c r="G17" i="26"/>
  <c r="H17" i="26"/>
  <c r="G18" i="26"/>
  <c r="H18" i="26"/>
  <c r="G19" i="26"/>
  <c r="H19" i="26"/>
  <c r="G20" i="26"/>
  <c r="H20" i="26"/>
  <c r="G21" i="26"/>
  <c r="H21" i="26"/>
  <c r="G22" i="26"/>
  <c r="H22" i="26"/>
  <c r="G23" i="26"/>
  <c r="H23" i="26"/>
  <c r="G24" i="26"/>
  <c r="H24" i="26"/>
  <c r="G25" i="26"/>
  <c r="H25" i="26"/>
  <c r="G26" i="26"/>
  <c r="H26" i="26"/>
  <c r="G27" i="26"/>
  <c r="H27" i="26"/>
  <c r="G28" i="26"/>
  <c r="H28" i="26"/>
  <c r="G29" i="26"/>
  <c r="H29" i="26"/>
  <c r="G30" i="26"/>
  <c r="H30" i="26"/>
  <c r="G31" i="26"/>
  <c r="H31" i="26"/>
  <c r="G32" i="26"/>
  <c r="H32" i="26"/>
  <c r="G33" i="26"/>
  <c r="H33" i="26"/>
  <c r="G34" i="26"/>
  <c r="H34" i="26"/>
  <c r="G35" i="26"/>
  <c r="H35" i="26"/>
  <c r="G36" i="26"/>
  <c r="H36" i="26"/>
  <c r="G37" i="26"/>
  <c r="H37" i="26"/>
  <c r="G38" i="26"/>
  <c r="H38" i="26"/>
  <c r="H3" i="26"/>
  <c r="G3" i="26"/>
  <c r="I4" i="26"/>
  <c r="J4" i="26"/>
  <c r="I5" i="26"/>
  <c r="J5" i="26"/>
  <c r="I6" i="26"/>
  <c r="J6" i="26"/>
  <c r="I7" i="26"/>
  <c r="J7" i="26"/>
  <c r="I8" i="26"/>
  <c r="J8" i="26"/>
  <c r="I9" i="26"/>
  <c r="J9" i="26"/>
  <c r="I10" i="26"/>
  <c r="J10" i="26"/>
  <c r="I11" i="26"/>
  <c r="J11" i="26"/>
  <c r="I12" i="26"/>
  <c r="J12" i="26"/>
  <c r="I13" i="26"/>
  <c r="J13" i="26"/>
  <c r="I14" i="26"/>
  <c r="J14" i="26"/>
  <c r="I15" i="26"/>
  <c r="J15" i="26"/>
  <c r="I16" i="26"/>
  <c r="J16" i="26"/>
  <c r="I17" i="26"/>
  <c r="J17" i="26"/>
  <c r="I18" i="26"/>
  <c r="J18" i="26"/>
  <c r="I19" i="26"/>
  <c r="J19" i="26"/>
  <c r="I20" i="26"/>
  <c r="J20" i="26"/>
  <c r="I21" i="26"/>
  <c r="J21" i="26"/>
  <c r="I22" i="26"/>
  <c r="J22" i="26"/>
  <c r="K22" i="26" s="1"/>
  <c r="I23" i="26"/>
  <c r="J23" i="26"/>
  <c r="K23" i="26" s="1"/>
  <c r="I24" i="26"/>
  <c r="J24" i="26"/>
  <c r="K24" i="26" s="1"/>
  <c r="I25" i="26"/>
  <c r="J25" i="26"/>
  <c r="K25" i="26" s="1"/>
  <c r="I26" i="26"/>
  <c r="J26" i="26"/>
  <c r="K26" i="26" s="1"/>
  <c r="I27" i="26"/>
  <c r="J27" i="26"/>
  <c r="K27" i="26" s="1"/>
  <c r="I28" i="26"/>
  <c r="J28" i="26"/>
  <c r="K28" i="26" s="1"/>
  <c r="I29" i="26"/>
  <c r="J29" i="26"/>
  <c r="K29" i="26" s="1"/>
  <c r="I30" i="26"/>
  <c r="J30" i="26"/>
  <c r="K30" i="26" s="1"/>
  <c r="I31" i="26"/>
  <c r="J31" i="26"/>
  <c r="K31" i="26" s="1"/>
  <c r="I32" i="26"/>
  <c r="J32" i="26"/>
  <c r="K32" i="26" s="1"/>
  <c r="I33" i="26"/>
  <c r="J33" i="26"/>
  <c r="K33" i="26" s="1"/>
  <c r="I34" i="26"/>
  <c r="J34" i="26"/>
  <c r="K34" i="26" s="1"/>
  <c r="I35" i="26"/>
  <c r="J35" i="26"/>
  <c r="K35" i="26" s="1"/>
  <c r="I36" i="26"/>
  <c r="J36" i="26"/>
  <c r="K36" i="26" s="1"/>
  <c r="I37" i="26"/>
  <c r="J37" i="26"/>
  <c r="K37" i="26" s="1"/>
  <c r="I38" i="26"/>
  <c r="J38" i="26"/>
  <c r="K38" i="26" s="1"/>
  <c r="J3" i="26"/>
  <c r="K3" i="26" s="1"/>
  <c r="I3" i="26"/>
  <c r="F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" i="26"/>
  <c r="Q109" i="23"/>
  <c r="P109" i="23"/>
  <c r="O109" i="23"/>
  <c r="N109" i="23"/>
  <c r="M109" i="23"/>
  <c r="L109" i="23"/>
  <c r="H109" i="23"/>
  <c r="G109" i="23"/>
  <c r="F109" i="23"/>
  <c r="E109" i="23"/>
  <c r="D109" i="23"/>
  <c r="C109" i="23"/>
  <c r="Q108" i="23"/>
  <c r="P108" i="23"/>
  <c r="O108" i="23"/>
  <c r="N108" i="23"/>
  <c r="M108" i="23"/>
  <c r="L108" i="23"/>
  <c r="H108" i="23"/>
  <c r="G108" i="23"/>
  <c r="F108" i="23"/>
  <c r="E108" i="23"/>
  <c r="D108" i="23"/>
  <c r="C108" i="23"/>
  <c r="Q107" i="23"/>
  <c r="P107" i="23"/>
  <c r="O107" i="23"/>
  <c r="N107" i="23"/>
  <c r="M107" i="23"/>
  <c r="L107" i="23"/>
  <c r="H107" i="23"/>
  <c r="G107" i="23"/>
  <c r="F107" i="23"/>
  <c r="E107" i="23"/>
  <c r="D107" i="23"/>
  <c r="C107" i="23"/>
  <c r="Q106" i="23"/>
  <c r="P106" i="23"/>
  <c r="O106" i="23"/>
  <c r="N106" i="23"/>
  <c r="M106" i="23"/>
  <c r="L106" i="23"/>
  <c r="H106" i="23"/>
  <c r="G106" i="23"/>
  <c r="F106" i="23"/>
  <c r="E106" i="23"/>
  <c r="D106" i="23"/>
  <c r="C106" i="23"/>
  <c r="Q105" i="23"/>
  <c r="P105" i="23"/>
  <c r="O105" i="23"/>
  <c r="N105" i="23"/>
  <c r="M105" i="23"/>
  <c r="L105" i="23"/>
  <c r="H105" i="23"/>
  <c r="G105" i="23"/>
  <c r="F105" i="23"/>
  <c r="E105" i="23"/>
  <c r="D105" i="23"/>
  <c r="C105" i="23"/>
  <c r="H72" i="23"/>
  <c r="E72" i="23"/>
  <c r="G72" i="23" s="1"/>
  <c r="D72" i="23"/>
  <c r="F72" i="23" s="1"/>
  <c r="N67" i="23"/>
  <c r="U67" i="23" s="1"/>
  <c r="M67" i="23"/>
  <c r="T67" i="23" s="1"/>
  <c r="L67" i="23"/>
  <c r="S67" i="23" s="1"/>
  <c r="K67" i="23"/>
  <c r="R67" i="23" s="1"/>
  <c r="J67" i="23"/>
  <c r="Q67" i="23" s="1"/>
  <c r="N66" i="23"/>
  <c r="U66" i="23" s="1"/>
  <c r="M66" i="23"/>
  <c r="T66" i="23" s="1"/>
  <c r="L66" i="23"/>
  <c r="S66" i="23" s="1"/>
  <c r="K66" i="23"/>
  <c r="R66" i="23" s="1"/>
  <c r="J66" i="23"/>
  <c r="Q66" i="23" s="1"/>
  <c r="N65" i="23"/>
  <c r="U65" i="23" s="1"/>
  <c r="M65" i="23"/>
  <c r="T65" i="23" s="1"/>
  <c r="L65" i="23"/>
  <c r="S65" i="23" s="1"/>
  <c r="K65" i="23"/>
  <c r="R65" i="23" s="1"/>
  <c r="J65" i="23"/>
  <c r="Q65" i="23" s="1"/>
  <c r="N64" i="23"/>
  <c r="U64" i="23" s="1"/>
  <c r="M64" i="23"/>
  <c r="T64" i="23" s="1"/>
  <c r="L64" i="23"/>
  <c r="S64" i="23" s="1"/>
  <c r="K64" i="23"/>
  <c r="R64" i="23" s="1"/>
  <c r="J64" i="23"/>
  <c r="Q64" i="23" s="1"/>
  <c r="N63" i="23"/>
  <c r="U63" i="23" s="1"/>
  <c r="M63" i="23"/>
  <c r="T63" i="23" s="1"/>
  <c r="L63" i="23"/>
  <c r="S63" i="23" s="1"/>
  <c r="K63" i="23"/>
  <c r="R63" i="23" s="1"/>
  <c r="J63" i="23"/>
  <c r="Q63" i="23" s="1"/>
  <c r="N62" i="23"/>
  <c r="U62" i="23" s="1"/>
  <c r="M62" i="23"/>
  <c r="T62" i="23" s="1"/>
  <c r="L62" i="23"/>
  <c r="S62" i="23" s="1"/>
  <c r="K62" i="23"/>
  <c r="R62" i="23" s="1"/>
  <c r="J62" i="23"/>
  <c r="Q62" i="23" s="1"/>
  <c r="N61" i="23"/>
  <c r="U61" i="23" s="1"/>
  <c r="M61" i="23"/>
  <c r="T61" i="23" s="1"/>
  <c r="L61" i="23"/>
  <c r="S61" i="23" s="1"/>
  <c r="K61" i="23"/>
  <c r="R61" i="23" s="1"/>
  <c r="J61" i="23"/>
  <c r="Q61" i="23" s="1"/>
  <c r="N60" i="23"/>
  <c r="U60" i="23" s="1"/>
  <c r="U73" i="23" s="1"/>
  <c r="M60" i="23"/>
  <c r="T60" i="23" s="1"/>
  <c r="L60" i="23"/>
  <c r="S60" i="23" s="1"/>
  <c r="K60" i="23"/>
  <c r="R60" i="23" s="1"/>
  <c r="J60" i="23"/>
  <c r="Q60" i="23" s="1"/>
  <c r="Q73" i="23" s="1"/>
  <c r="U50" i="23"/>
  <c r="T50" i="23"/>
  <c r="S50" i="23"/>
  <c r="R50" i="23"/>
  <c r="Q50" i="23"/>
  <c r="U49" i="23"/>
  <c r="T49" i="23"/>
  <c r="S49" i="23"/>
  <c r="R49" i="23"/>
  <c r="Q49" i="23"/>
  <c r="U48" i="23"/>
  <c r="T48" i="23"/>
  <c r="S48" i="23"/>
  <c r="R48" i="23"/>
  <c r="Q48" i="23"/>
  <c r="U47" i="23"/>
  <c r="T47" i="23"/>
  <c r="S47" i="23"/>
  <c r="R47" i="23"/>
  <c r="Q47" i="23"/>
  <c r="U46" i="23"/>
  <c r="T46" i="23"/>
  <c r="S46" i="23"/>
  <c r="R46" i="23"/>
  <c r="Q46" i="23"/>
  <c r="U45" i="23"/>
  <c r="T45" i="23"/>
  <c r="S45" i="23"/>
  <c r="R45" i="23"/>
  <c r="Q45" i="23"/>
  <c r="U44" i="23"/>
  <c r="T44" i="23"/>
  <c r="S44" i="23"/>
  <c r="R44" i="23"/>
  <c r="Q44" i="23"/>
  <c r="U43" i="23"/>
  <c r="T43" i="23"/>
  <c r="S43" i="23"/>
  <c r="R43" i="23"/>
  <c r="Q43" i="23"/>
  <c r="U32" i="23"/>
  <c r="U31" i="23"/>
  <c r="U30" i="23"/>
  <c r="U29" i="23"/>
  <c r="U28" i="23"/>
  <c r="U27" i="23"/>
  <c r="U26" i="23"/>
  <c r="T26" i="23"/>
  <c r="S26" i="23"/>
  <c r="U19" i="23"/>
  <c r="T19" i="23"/>
  <c r="S19" i="23"/>
  <c r="R19" i="23"/>
  <c r="G19" i="23"/>
  <c r="U18" i="23"/>
  <c r="T18" i="23"/>
  <c r="S18" i="23"/>
  <c r="R18" i="23"/>
  <c r="G18" i="23"/>
  <c r="U17" i="23"/>
  <c r="T17" i="23"/>
  <c r="S17" i="23"/>
  <c r="R17" i="23"/>
  <c r="G17" i="23"/>
  <c r="U16" i="23"/>
  <c r="T16" i="23"/>
  <c r="S16" i="23"/>
  <c r="R16" i="23"/>
  <c r="G16" i="23"/>
  <c r="U15" i="23"/>
  <c r="T15" i="23"/>
  <c r="S15" i="23"/>
  <c r="R15" i="23"/>
  <c r="G15" i="23"/>
  <c r="U14" i="23"/>
  <c r="T14" i="23"/>
  <c r="S14" i="23"/>
  <c r="R14" i="23"/>
  <c r="G14" i="23"/>
  <c r="U13" i="23"/>
  <c r="T13" i="23"/>
  <c r="S13" i="23"/>
  <c r="J13" i="23"/>
  <c r="I13" i="23"/>
  <c r="H13" i="23"/>
  <c r="R8" i="23"/>
  <c r="R7" i="23"/>
  <c r="I7" i="23"/>
  <c r="R6" i="23"/>
  <c r="O6" i="23"/>
  <c r="R5" i="23"/>
  <c r="O5" i="23"/>
  <c r="K5" i="23"/>
  <c r="R4" i="23"/>
  <c r="O4" i="23"/>
  <c r="Q109" i="22"/>
  <c r="P109" i="22"/>
  <c r="O109" i="22"/>
  <c r="N109" i="22"/>
  <c r="M109" i="22"/>
  <c r="L109" i="22"/>
  <c r="H109" i="22"/>
  <c r="G109" i="22"/>
  <c r="F109" i="22"/>
  <c r="E109" i="22"/>
  <c r="D109" i="22"/>
  <c r="C109" i="22"/>
  <c r="Q108" i="22"/>
  <c r="P108" i="22"/>
  <c r="O108" i="22"/>
  <c r="N108" i="22"/>
  <c r="M108" i="22"/>
  <c r="L108" i="22"/>
  <c r="H108" i="22"/>
  <c r="G108" i="22"/>
  <c r="F108" i="22"/>
  <c r="E108" i="22"/>
  <c r="D108" i="22"/>
  <c r="C108" i="22"/>
  <c r="Q107" i="22"/>
  <c r="P107" i="22"/>
  <c r="O107" i="22"/>
  <c r="N107" i="22"/>
  <c r="M107" i="22"/>
  <c r="L107" i="22"/>
  <c r="H107" i="22"/>
  <c r="G107" i="22"/>
  <c r="F107" i="22"/>
  <c r="E107" i="22"/>
  <c r="D107" i="22"/>
  <c r="C107" i="22"/>
  <c r="Q106" i="22"/>
  <c r="P106" i="22"/>
  <c r="O106" i="22"/>
  <c r="N106" i="22"/>
  <c r="M106" i="22"/>
  <c r="L106" i="22"/>
  <c r="H106" i="22"/>
  <c r="G106" i="22"/>
  <c r="F106" i="22"/>
  <c r="E106" i="22"/>
  <c r="D106" i="22"/>
  <c r="C106" i="22"/>
  <c r="Q105" i="22"/>
  <c r="P105" i="22"/>
  <c r="O105" i="22"/>
  <c r="N105" i="22"/>
  <c r="M105" i="22"/>
  <c r="L105" i="22"/>
  <c r="H105" i="22"/>
  <c r="G105" i="22"/>
  <c r="F105" i="22"/>
  <c r="E105" i="22"/>
  <c r="D105" i="22"/>
  <c r="C105" i="22"/>
  <c r="H72" i="22"/>
  <c r="E72" i="22"/>
  <c r="G72" i="22" s="1"/>
  <c r="D72" i="22"/>
  <c r="F72" i="22" s="1"/>
  <c r="N67" i="22"/>
  <c r="U67" i="22" s="1"/>
  <c r="M67" i="22"/>
  <c r="T67" i="22" s="1"/>
  <c r="L67" i="22"/>
  <c r="S67" i="22" s="1"/>
  <c r="K67" i="22"/>
  <c r="R67" i="22" s="1"/>
  <c r="J67" i="22"/>
  <c r="Q67" i="22" s="1"/>
  <c r="N66" i="22"/>
  <c r="U66" i="22" s="1"/>
  <c r="M66" i="22"/>
  <c r="T66" i="22" s="1"/>
  <c r="L66" i="22"/>
  <c r="S66" i="22" s="1"/>
  <c r="K66" i="22"/>
  <c r="R66" i="22" s="1"/>
  <c r="J66" i="22"/>
  <c r="Q66" i="22" s="1"/>
  <c r="N65" i="22"/>
  <c r="U65" i="22" s="1"/>
  <c r="M65" i="22"/>
  <c r="T65" i="22" s="1"/>
  <c r="L65" i="22"/>
  <c r="S65" i="22" s="1"/>
  <c r="K65" i="22"/>
  <c r="R65" i="22" s="1"/>
  <c r="J65" i="22"/>
  <c r="Q65" i="22" s="1"/>
  <c r="N64" i="22"/>
  <c r="U64" i="22" s="1"/>
  <c r="M64" i="22"/>
  <c r="T64" i="22" s="1"/>
  <c r="L64" i="22"/>
  <c r="S64" i="22" s="1"/>
  <c r="K64" i="22"/>
  <c r="R64" i="22" s="1"/>
  <c r="J64" i="22"/>
  <c r="Q64" i="22" s="1"/>
  <c r="N63" i="22"/>
  <c r="U63" i="22" s="1"/>
  <c r="M63" i="22"/>
  <c r="T63" i="22" s="1"/>
  <c r="L63" i="22"/>
  <c r="S63" i="22" s="1"/>
  <c r="K63" i="22"/>
  <c r="R63" i="22" s="1"/>
  <c r="J63" i="22"/>
  <c r="Q63" i="22" s="1"/>
  <c r="N62" i="22"/>
  <c r="U62" i="22" s="1"/>
  <c r="M62" i="22"/>
  <c r="T62" i="22" s="1"/>
  <c r="L62" i="22"/>
  <c r="S62" i="22" s="1"/>
  <c r="K62" i="22"/>
  <c r="R62" i="22" s="1"/>
  <c r="J62" i="22"/>
  <c r="Q62" i="22" s="1"/>
  <c r="N61" i="22"/>
  <c r="U61" i="22" s="1"/>
  <c r="M61" i="22"/>
  <c r="T61" i="22" s="1"/>
  <c r="L61" i="22"/>
  <c r="S61" i="22" s="1"/>
  <c r="K61" i="22"/>
  <c r="R61" i="22" s="1"/>
  <c r="J61" i="22"/>
  <c r="Q61" i="22" s="1"/>
  <c r="N60" i="22"/>
  <c r="U60" i="22" s="1"/>
  <c r="U73" i="22" s="1"/>
  <c r="M60" i="22"/>
  <c r="T60" i="22" s="1"/>
  <c r="T73" i="22" s="1"/>
  <c r="L60" i="22"/>
  <c r="S60" i="22" s="1"/>
  <c r="S73" i="22" s="1"/>
  <c r="K60" i="22"/>
  <c r="R60" i="22" s="1"/>
  <c r="R73" i="22" s="1"/>
  <c r="J60" i="22"/>
  <c r="Q60" i="22" s="1"/>
  <c r="Q73" i="22" s="1"/>
  <c r="U50" i="22"/>
  <c r="T50" i="22"/>
  <c r="S50" i="22"/>
  <c r="R50" i="22"/>
  <c r="Q50" i="22"/>
  <c r="U49" i="22"/>
  <c r="T49" i="22"/>
  <c r="S49" i="22"/>
  <c r="R49" i="22"/>
  <c r="Q49" i="22"/>
  <c r="U48" i="22"/>
  <c r="T48" i="22"/>
  <c r="S48" i="22"/>
  <c r="R48" i="22"/>
  <c r="Q48" i="22"/>
  <c r="U47" i="22"/>
  <c r="T47" i="22"/>
  <c r="S47" i="22"/>
  <c r="R47" i="22"/>
  <c r="Q47" i="22"/>
  <c r="U46" i="22"/>
  <c r="T46" i="22"/>
  <c r="S46" i="22"/>
  <c r="R46" i="22"/>
  <c r="Q46" i="22"/>
  <c r="U45" i="22"/>
  <c r="T45" i="22"/>
  <c r="S45" i="22"/>
  <c r="R45" i="22"/>
  <c r="Q45" i="22"/>
  <c r="U44" i="22"/>
  <c r="T44" i="22"/>
  <c r="S44" i="22"/>
  <c r="R44" i="22"/>
  <c r="Q44" i="22"/>
  <c r="U43" i="22"/>
  <c r="T43" i="22"/>
  <c r="S43" i="22"/>
  <c r="R43" i="22"/>
  <c r="Q43" i="22"/>
  <c r="U32" i="22"/>
  <c r="U31" i="22"/>
  <c r="U30" i="22"/>
  <c r="U29" i="22"/>
  <c r="U28" i="22"/>
  <c r="U27" i="22"/>
  <c r="U26" i="22"/>
  <c r="T26" i="22"/>
  <c r="S26" i="22"/>
  <c r="U19" i="22"/>
  <c r="T19" i="22"/>
  <c r="S19" i="22"/>
  <c r="R19" i="22"/>
  <c r="G19" i="22"/>
  <c r="U18" i="22"/>
  <c r="T18" i="22"/>
  <c r="S18" i="22"/>
  <c r="R18" i="22"/>
  <c r="G18" i="22"/>
  <c r="U17" i="22"/>
  <c r="T17" i="22"/>
  <c r="S17" i="22"/>
  <c r="R17" i="22"/>
  <c r="G17" i="22"/>
  <c r="U16" i="22"/>
  <c r="T16" i="22"/>
  <c r="S16" i="22"/>
  <c r="R16" i="22"/>
  <c r="G16" i="22"/>
  <c r="U15" i="22"/>
  <c r="T15" i="22"/>
  <c r="S15" i="22"/>
  <c r="R15" i="22"/>
  <c r="G15" i="22"/>
  <c r="U14" i="22"/>
  <c r="T14" i="22"/>
  <c r="S14" i="22"/>
  <c r="R14" i="22"/>
  <c r="G14" i="22"/>
  <c r="U13" i="22"/>
  <c r="T13" i="22"/>
  <c r="S13" i="22"/>
  <c r="J13" i="22"/>
  <c r="I13" i="22"/>
  <c r="H13" i="22"/>
  <c r="R8" i="22"/>
  <c r="R7" i="22"/>
  <c r="I7" i="22"/>
  <c r="R6" i="22"/>
  <c r="O6" i="22"/>
  <c r="R5" i="22"/>
  <c r="O5" i="22"/>
  <c r="K5" i="22"/>
  <c r="R4" i="22"/>
  <c r="O4" i="22"/>
  <c r="Q109" i="21"/>
  <c r="P109" i="21"/>
  <c r="O109" i="21"/>
  <c r="N109" i="21"/>
  <c r="M109" i="21"/>
  <c r="L109" i="21"/>
  <c r="H109" i="21"/>
  <c r="G109" i="21"/>
  <c r="F109" i="21"/>
  <c r="E109" i="21"/>
  <c r="D109" i="21"/>
  <c r="C109" i="21"/>
  <c r="Q108" i="21"/>
  <c r="P108" i="21"/>
  <c r="O108" i="21"/>
  <c r="N108" i="21"/>
  <c r="M108" i="21"/>
  <c r="L108" i="21"/>
  <c r="H108" i="21"/>
  <c r="G108" i="21"/>
  <c r="F108" i="21"/>
  <c r="E108" i="21"/>
  <c r="D108" i="21"/>
  <c r="C108" i="21"/>
  <c r="Q107" i="21"/>
  <c r="P107" i="21"/>
  <c r="O107" i="21"/>
  <c r="N107" i="21"/>
  <c r="M107" i="21"/>
  <c r="L107" i="21"/>
  <c r="H107" i="21"/>
  <c r="G107" i="21"/>
  <c r="F107" i="21"/>
  <c r="E107" i="21"/>
  <c r="D107" i="21"/>
  <c r="C107" i="21"/>
  <c r="Q106" i="21"/>
  <c r="P106" i="21"/>
  <c r="O106" i="21"/>
  <c r="N106" i="21"/>
  <c r="M106" i="21"/>
  <c r="L106" i="21"/>
  <c r="H106" i="21"/>
  <c r="G106" i="21"/>
  <c r="F106" i="21"/>
  <c r="E106" i="21"/>
  <c r="D106" i="21"/>
  <c r="C106" i="21"/>
  <c r="Q105" i="21"/>
  <c r="P105" i="21"/>
  <c r="O105" i="21"/>
  <c r="N105" i="21"/>
  <c r="M105" i="21"/>
  <c r="L105" i="21"/>
  <c r="H105" i="21"/>
  <c r="G105" i="21"/>
  <c r="F105" i="21"/>
  <c r="E105" i="21"/>
  <c r="D105" i="21"/>
  <c r="C105" i="21"/>
  <c r="H72" i="21"/>
  <c r="E72" i="21"/>
  <c r="G72" i="21" s="1"/>
  <c r="D72" i="21"/>
  <c r="F72" i="21" s="1"/>
  <c r="N67" i="21"/>
  <c r="U67" i="21" s="1"/>
  <c r="M67" i="21"/>
  <c r="T67" i="21" s="1"/>
  <c r="L67" i="21"/>
  <c r="S67" i="21" s="1"/>
  <c r="K67" i="21"/>
  <c r="R67" i="21" s="1"/>
  <c r="J67" i="21"/>
  <c r="Q67" i="21" s="1"/>
  <c r="N66" i="21"/>
  <c r="U66" i="21" s="1"/>
  <c r="M66" i="21"/>
  <c r="T66" i="21" s="1"/>
  <c r="L66" i="21"/>
  <c r="S66" i="21" s="1"/>
  <c r="K66" i="21"/>
  <c r="R66" i="21" s="1"/>
  <c r="J66" i="21"/>
  <c r="Q66" i="21" s="1"/>
  <c r="N65" i="21"/>
  <c r="U65" i="21" s="1"/>
  <c r="M65" i="21"/>
  <c r="T65" i="21" s="1"/>
  <c r="L65" i="21"/>
  <c r="S65" i="21" s="1"/>
  <c r="K65" i="21"/>
  <c r="R65" i="21" s="1"/>
  <c r="J65" i="21"/>
  <c r="Q65" i="21" s="1"/>
  <c r="N64" i="21"/>
  <c r="U64" i="21" s="1"/>
  <c r="M64" i="21"/>
  <c r="T64" i="21" s="1"/>
  <c r="L64" i="21"/>
  <c r="S64" i="21" s="1"/>
  <c r="K64" i="21"/>
  <c r="R64" i="21" s="1"/>
  <c r="J64" i="21"/>
  <c r="Q64" i="21" s="1"/>
  <c r="N63" i="21"/>
  <c r="U63" i="21" s="1"/>
  <c r="M63" i="21"/>
  <c r="T63" i="21" s="1"/>
  <c r="L63" i="21"/>
  <c r="S63" i="21" s="1"/>
  <c r="K63" i="21"/>
  <c r="R63" i="21" s="1"/>
  <c r="J63" i="21"/>
  <c r="Q63" i="21" s="1"/>
  <c r="N62" i="21"/>
  <c r="U62" i="21" s="1"/>
  <c r="M62" i="21"/>
  <c r="T62" i="21" s="1"/>
  <c r="L62" i="21"/>
  <c r="S62" i="21" s="1"/>
  <c r="K62" i="21"/>
  <c r="R62" i="21" s="1"/>
  <c r="J62" i="21"/>
  <c r="Q62" i="21" s="1"/>
  <c r="N61" i="21"/>
  <c r="U61" i="21" s="1"/>
  <c r="M61" i="21"/>
  <c r="T61" i="21" s="1"/>
  <c r="L61" i="21"/>
  <c r="S61" i="21" s="1"/>
  <c r="K61" i="21"/>
  <c r="R61" i="21" s="1"/>
  <c r="J61" i="21"/>
  <c r="Q61" i="21" s="1"/>
  <c r="N60" i="21"/>
  <c r="U60" i="21" s="1"/>
  <c r="U73" i="21" s="1"/>
  <c r="M60" i="21"/>
  <c r="T60" i="21" s="1"/>
  <c r="T73" i="21" s="1"/>
  <c r="L60" i="21"/>
  <c r="S60" i="21" s="1"/>
  <c r="S73" i="21" s="1"/>
  <c r="K60" i="21"/>
  <c r="R60" i="21" s="1"/>
  <c r="R73" i="21" s="1"/>
  <c r="J60" i="21"/>
  <c r="Q60" i="21" s="1"/>
  <c r="Q73" i="21" s="1"/>
  <c r="U50" i="21"/>
  <c r="T50" i="21"/>
  <c r="S50" i="21"/>
  <c r="R50" i="21"/>
  <c r="Q50" i="21"/>
  <c r="U49" i="21"/>
  <c r="T49" i="21"/>
  <c r="S49" i="21"/>
  <c r="R49" i="21"/>
  <c r="Q49" i="21"/>
  <c r="U48" i="21"/>
  <c r="T48" i="21"/>
  <c r="S48" i="21"/>
  <c r="R48" i="21"/>
  <c r="Q48" i="21"/>
  <c r="U47" i="21"/>
  <c r="T47" i="21"/>
  <c r="S47" i="21"/>
  <c r="R47" i="21"/>
  <c r="Q47" i="21"/>
  <c r="U46" i="21"/>
  <c r="T46" i="21"/>
  <c r="S46" i="21"/>
  <c r="R46" i="21"/>
  <c r="Q46" i="21"/>
  <c r="U45" i="21"/>
  <c r="T45" i="21"/>
  <c r="S45" i="21"/>
  <c r="R45" i="21"/>
  <c r="Q45" i="21"/>
  <c r="U44" i="21"/>
  <c r="T44" i="21"/>
  <c r="S44" i="21"/>
  <c r="R44" i="21"/>
  <c r="Q44" i="21"/>
  <c r="U43" i="21"/>
  <c r="T43" i="21"/>
  <c r="S43" i="21"/>
  <c r="R43" i="21"/>
  <c r="Q43" i="21"/>
  <c r="U32" i="21"/>
  <c r="U31" i="21"/>
  <c r="U30" i="21"/>
  <c r="U29" i="21"/>
  <c r="U28" i="21"/>
  <c r="U27" i="21"/>
  <c r="U26" i="21"/>
  <c r="T26" i="21"/>
  <c r="S26" i="21"/>
  <c r="U19" i="21"/>
  <c r="T19" i="21"/>
  <c r="S19" i="21"/>
  <c r="R19" i="21"/>
  <c r="G19" i="21"/>
  <c r="U18" i="21"/>
  <c r="T18" i="21"/>
  <c r="S18" i="21"/>
  <c r="R18" i="21"/>
  <c r="G18" i="21"/>
  <c r="U17" i="21"/>
  <c r="T17" i="21"/>
  <c r="S17" i="21"/>
  <c r="R17" i="21"/>
  <c r="G17" i="21"/>
  <c r="U16" i="21"/>
  <c r="T16" i="21"/>
  <c r="S16" i="21"/>
  <c r="R16" i="21"/>
  <c r="G16" i="21"/>
  <c r="U15" i="21"/>
  <c r="T15" i="21"/>
  <c r="S15" i="21"/>
  <c r="R15" i="21"/>
  <c r="G15" i="21"/>
  <c r="U14" i="21"/>
  <c r="T14" i="21"/>
  <c r="S14" i="21"/>
  <c r="R14" i="21"/>
  <c r="G14" i="21"/>
  <c r="U13" i="21"/>
  <c r="T13" i="21"/>
  <c r="S13" i="21"/>
  <c r="J13" i="21"/>
  <c r="I13" i="21"/>
  <c r="H13" i="21"/>
  <c r="R8" i="21"/>
  <c r="R7" i="21"/>
  <c r="I7" i="21"/>
  <c r="R6" i="21"/>
  <c r="O6" i="21"/>
  <c r="R5" i="21"/>
  <c r="O5" i="21"/>
  <c r="K5" i="21"/>
  <c r="R4" i="21"/>
  <c r="O4" i="21"/>
  <c r="U32" i="1"/>
  <c r="U31" i="1"/>
  <c r="U30" i="1"/>
  <c r="U29" i="1"/>
  <c r="U28" i="1"/>
  <c r="U27" i="1"/>
  <c r="U26" i="1"/>
  <c r="T26" i="1"/>
  <c r="S26" i="1"/>
  <c r="T14" i="1"/>
  <c r="U14" i="1"/>
  <c r="T15" i="1"/>
  <c r="U15" i="1"/>
  <c r="T16" i="1"/>
  <c r="U16" i="1"/>
  <c r="T17" i="1"/>
  <c r="U17" i="1"/>
  <c r="T18" i="1"/>
  <c r="U18" i="1"/>
  <c r="T19" i="1"/>
  <c r="U19" i="1"/>
  <c r="S15" i="1"/>
  <c r="S16" i="1"/>
  <c r="S17" i="1"/>
  <c r="S18" i="1"/>
  <c r="S19" i="1"/>
  <c r="S14" i="1"/>
  <c r="R15" i="1"/>
  <c r="R16" i="1"/>
  <c r="R17" i="1"/>
  <c r="R18" i="1"/>
  <c r="R19" i="1"/>
  <c r="R14" i="1"/>
  <c r="T13" i="1"/>
  <c r="U13" i="1"/>
  <c r="S13" i="1"/>
  <c r="N14" i="26" l="1"/>
  <c r="N5" i="26"/>
  <c r="N6" i="26"/>
  <c r="N7" i="26"/>
  <c r="N8" i="26"/>
  <c r="N9" i="26"/>
  <c r="N11" i="26"/>
  <c r="N13" i="26"/>
  <c r="N15" i="26"/>
  <c r="N16" i="26"/>
  <c r="N17" i="26"/>
  <c r="N19" i="26"/>
  <c r="N12" i="26"/>
  <c r="N20" i="26"/>
  <c r="N10" i="26"/>
  <c r="N18" i="26"/>
  <c r="N32" i="26"/>
  <c r="N35" i="26"/>
  <c r="N31" i="26"/>
  <c r="N3" i="26"/>
  <c r="N23" i="26"/>
  <c r="N4" i="26"/>
  <c r="N25" i="26"/>
  <c r="N36" i="26"/>
  <c r="N37" i="26"/>
  <c r="N22" i="26"/>
  <c r="N27" i="26"/>
  <c r="N26" i="26"/>
  <c r="N28" i="26"/>
  <c r="N24" i="26"/>
  <c r="N34" i="26"/>
  <c r="N38" i="26"/>
  <c r="N29" i="26"/>
  <c r="N30" i="26"/>
  <c r="N33" i="26"/>
  <c r="M4" i="26"/>
  <c r="M33" i="26"/>
  <c r="M29" i="26"/>
  <c r="M34" i="26"/>
  <c r="M36" i="26"/>
  <c r="M3" i="26"/>
  <c r="K4" i="26"/>
  <c r="M24" i="26"/>
  <c r="M25" i="26"/>
  <c r="M28" i="26"/>
  <c r="M31" i="26"/>
  <c r="M38" i="26"/>
  <c r="M35" i="26"/>
  <c r="M21" i="26"/>
  <c r="M26" i="26"/>
  <c r="M32" i="26"/>
  <c r="M37" i="26"/>
  <c r="M23" i="26"/>
  <c r="M22" i="26"/>
  <c r="M27" i="26"/>
  <c r="M30" i="26"/>
  <c r="M5" i="26"/>
  <c r="K5" i="26"/>
  <c r="M6" i="26"/>
  <c r="K6" i="26"/>
  <c r="K7" i="26"/>
  <c r="M7" i="26"/>
  <c r="M8" i="26"/>
  <c r="K8" i="26"/>
  <c r="K9" i="26"/>
  <c r="M9" i="26"/>
  <c r="K10" i="26"/>
  <c r="M10" i="26"/>
  <c r="K11" i="26"/>
  <c r="M11" i="26"/>
  <c r="M12" i="26"/>
  <c r="K12" i="26"/>
  <c r="M13" i="26"/>
  <c r="K13" i="26"/>
  <c r="K14" i="26"/>
  <c r="M14" i="26"/>
  <c r="M15" i="26"/>
  <c r="K15" i="26"/>
  <c r="K16" i="26"/>
  <c r="M16" i="26"/>
  <c r="K17" i="26"/>
  <c r="M17" i="26"/>
  <c r="K18" i="26"/>
  <c r="M18" i="26"/>
  <c r="K19" i="26"/>
  <c r="M19" i="26"/>
  <c r="M20" i="26"/>
  <c r="K20" i="26"/>
  <c r="K21" i="26"/>
  <c r="L21" i="26" s="1"/>
  <c r="N21" i="26"/>
  <c r="R74" i="23"/>
  <c r="Q74" i="23"/>
  <c r="T73" i="23"/>
  <c r="S73" i="23"/>
  <c r="R73" i="23"/>
  <c r="Q75" i="22"/>
  <c r="T76" i="22"/>
  <c r="S76" i="22"/>
  <c r="R76" i="22"/>
  <c r="Q76" i="22"/>
  <c r="T75" i="22"/>
  <c r="R75" i="22"/>
  <c r="S75" i="22"/>
  <c r="U75" i="22"/>
  <c r="U74" i="22"/>
  <c r="T74" i="22"/>
  <c r="S74" i="22"/>
  <c r="R74" i="22"/>
  <c r="Q74" i="22"/>
  <c r="R80" i="23"/>
  <c r="R78" i="23"/>
  <c r="R77" i="23"/>
  <c r="U75" i="23"/>
  <c r="Q75" i="23"/>
  <c r="S74" i="23"/>
  <c r="S80" i="22"/>
  <c r="S79" i="22"/>
  <c r="Q79" i="22"/>
  <c r="R78" i="22"/>
  <c r="R77" i="22"/>
  <c r="U76" i="22"/>
  <c r="U80" i="23"/>
  <c r="S80" i="23"/>
  <c r="Q80" i="23"/>
  <c r="T79" i="23"/>
  <c r="S79" i="23"/>
  <c r="R79" i="23"/>
  <c r="Q79" i="23"/>
  <c r="U78" i="23"/>
  <c r="S78" i="23"/>
  <c r="Q78" i="23"/>
  <c r="U77" i="23"/>
  <c r="S77" i="23"/>
  <c r="U76" i="23"/>
  <c r="T76" i="23"/>
  <c r="Q76" i="23"/>
  <c r="T75" i="23"/>
  <c r="R75" i="23"/>
  <c r="T74" i="23"/>
  <c r="U80" i="22"/>
  <c r="T80" i="22"/>
  <c r="Q80" i="22"/>
  <c r="T79" i="22"/>
  <c r="R79" i="22"/>
  <c r="Q78" i="22"/>
  <c r="S77" i="22"/>
  <c r="U79" i="23"/>
  <c r="R76" i="23"/>
  <c r="S75" i="23"/>
  <c r="U79" i="22"/>
  <c r="T78" i="22"/>
  <c r="U77" i="22"/>
  <c r="Q77" i="22"/>
  <c r="T80" i="23"/>
  <c r="T78" i="23"/>
  <c r="T77" i="23"/>
  <c r="Q77" i="23"/>
  <c r="S76" i="23"/>
  <c r="U74" i="23"/>
  <c r="R80" i="22"/>
  <c r="U78" i="22"/>
  <c r="S78" i="22"/>
  <c r="T77" i="22"/>
  <c r="U80" i="21"/>
  <c r="S80" i="21"/>
  <c r="R80" i="21"/>
  <c r="Q80" i="21"/>
  <c r="T79" i="21"/>
  <c r="S79" i="21"/>
  <c r="Q79" i="21"/>
  <c r="T78" i="21"/>
  <c r="S78" i="21"/>
  <c r="Q78" i="21"/>
  <c r="T77" i="21"/>
  <c r="Q77" i="21"/>
  <c r="Q76" i="21"/>
  <c r="S76" i="21"/>
  <c r="U75" i="21"/>
  <c r="S75" i="21"/>
  <c r="Q75" i="21"/>
  <c r="T74" i="21"/>
  <c r="S74" i="21"/>
  <c r="Q74" i="21"/>
  <c r="T80" i="21"/>
  <c r="U79" i="21"/>
  <c r="R79" i="21"/>
  <c r="U78" i="21"/>
  <c r="R78" i="21"/>
  <c r="U77" i="21"/>
  <c r="S77" i="21"/>
  <c r="R77" i="21"/>
  <c r="U76" i="21"/>
  <c r="T76" i="21"/>
  <c r="R76" i="21"/>
  <c r="T75" i="21"/>
  <c r="R75" i="21"/>
  <c r="U74" i="21"/>
  <c r="R74" i="21"/>
  <c r="G15" i="1"/>
  <c r="G16" i="1"/>
  <c r="G17" i="1"/>
  <c r="G18" i="1"/>
  <c r="G19" i="1"/>
  <c r="G14" i="1"/>
  <c r="C105" i="1"/>
  <c r="D105" i="1"/>
  <c r="C106" i="1"/>
  <c r="D106" i="1"/>
  <c r="C107" i="1"/>
  <c r="D107" i="1"/>
  <c r="C108" i="1"/>
  <c r="D108" i="1"/>
  <c r="C109" i="1"/>
  <c r="D109" i="1"/>
  <c r="E105" i="1"/>
  <c r="E106" i="1"/>
  <c r="E107" i="1"/>
  <c r="E108" i="1"/>
  <c r="E109" i="1"/>
  <c r="G105" i="1"/>
  <c r="H105" i="1"/>
  <c r="G106" i="1"/>
  <c r="H106" i="1"/>
  <c r="G107" i="1"/>
  <c r="H107" i="1"/>
  <c r="G108" i="1"/>
  <c r="H108" i="1"/>
  <c r="G109" i="1"/>
  <c r="H109" i="1"/>
  <c r="F106" i="1"/>
  <c r="F107" i="1"/>
  <c r="F108" i="1"/>
  <c r="F109" i="1"/>
  <c r="F105" i="1"/>
  <c r="O105" i="1"/>
  <c r="P105" i="1"/>
  <c r="Q105" i="1"/>
  <c r="O106" i="1"/>
  <c r="P106" i="1"/>
  <c r="Q106" i="1"/>
  <c r="O107" i="1"/>
  <c r="P107" i="1"/>
  <c r="Q107" i="1"/>
  <c r="O108" i="1"/>
  <c r="P108" i="1"/>
  <c r="Q108" i="1"/>
  <c r="O109" i="1"/>
  <c r="P109" i="1"/>
  <c r="Q109" i="1"/>
  <c r="M105" i="1"/>
  <c r="N105" i="1"/>
  <c r="M106" i="1"/>
  <c r="N106" i="1"/>
  <c r="M107" i="1"/>
  <c r="N107" i="1"/>
  <c r="M108" i="1"/>
  <c r="N108" i="1"/>
  <c r="M109" i="1"/>
  <c r="N109" i="1"/>
  <c r="L106" i="1"/>
  <c r="L107" i="1"/>
  <c r="L108" i="1"/>
  <c r="L109" i="1"/>
  <c r="L105" i="1"/>
  <c r="L3" i="26" l="1"/>
  <c r="L37" i="26"/>
  <c r="L35" i="26"/>
  <c r="L33" i="26"/>
  <c r="L30" i="26"/>
  <c r="L28" i="26"/>
  <c r="L25" i="26"/>
  <c r="L23" i="26"/>
  <c r="L38" i="26"/>
  <c r="L36" i="26"/>
  <c r="L34" i="26"/>
  <c r="L32" i="26"/>
  <c r="L29" i="26"/>
  <c r="L27" i="26"/>
  <c r="L26" i="26"/>
  <c r="L24" i="26"/>
  <c r="L22" i="26"/>
  <c r="L31" i="26"/>
  <c r="L4" i="26"/>
  <c r="L5" i="26"/>
  <c r="L6" i="26"/>
  <c r="L7" i="26"/>
  <c r="L8" i="26"/>
  <c r="L9" i="26"/>
  <c r="L10" i="26"/>
  <c r="L19" i="26"/>
  <c r="L20" i="26"/>
  <c r="L11" i="26"/>
  <c r="L12" i="26"/>
  <c r="L13" i="26"/>
  <c r="L14" i="26"/>
  <c r="L15" i="26"/>
  <c r="L16" i="26"/>
  <c r="L17" i="26"/>
  <c r="L18" i="26"/>
  <c r="R8" i="1"/>
  <c r="R7" i="1"/>
  <c r="R6" i="1"/>
  <c r="R5" i="1"/>
  <c r="R4" i="1"/>
  <c r="O6" i="1"/>
  <c r="O5" i="1"/>
  <c r="O4" i="1"/>
  <c r="E72" i="1" l="1"/>
  <c r="G72" i="1" s="1"/>
  <c r="D72" i="1"/>
  <c r="F72" i="1" s="1"/>
  <c r="H72" i="1"/>
  <c r="J60" i="1"/>
  <c r="Q60" i="1" s="1"/>
  <c r="K60" i="1"/>
  <c r="R60" i="1" s="1"/>
  <c r="L60" i="1"/>
  <c r="S60" i="1" s="1"/>
  <c r="M60" i="1"/>
  <c r="T60" i="1" s="1"/>
  <c r="N60" i="1"/>
  <c r="U60" i="1" s="1"/>
  <c r="K61" i="1"/>
  <c r="R61" i="1" s="1"/>
  <c r="L61" i="1"/>
  <c r="S61" i="1" s="1"/>
  <c r="M61" i="1"/>
  <c r="T61" i="1" s="1"/>
  <c r="N61" i="1"/>
  <c r="U61" i="1" s="1"/>
  <c r="K62" i="1"/>
  <c r="R62" i="1" s="1"/>
  <c r="L62" i="1"/>
  <c r="S62" i="1" s="1"/>
  <c r="M62" i="1"/>
  <c r="T62" i="1" s="1"/>
  <c r="N62" i="1"/>
  <c r="U62" i="1" s="1"/>
  <c r="K63" i="1"/>
  <c r="R63" i="1" s="1"/>
  <c r="L63" i="1"/>
  <c r="S63" i="1" s="1"/>
  <c r="M63" i="1"/>
  <c r="T63" i="1" s="1"/>
  <c r="N63" i="1"/>
  <c r="U63" i="1" s="1"/>
  <c r="K64" i="1"/>
  <c r="R64" i="1" s="1"/>
  <c r="L64" i="1"/>
  <c r="S64" i="1" s="1"/>
  <c r="M64" i="1"/>
  <c r="T64" i="1" s="1"/>
  <c r="N64" i="1"/>
  <c r="U64" i="1" s="1"/>
  <c r="K65" i="1"/>
  <c r="R65" i="1" s="1"/>
  <c r="L65" i="1"/>
  <c r="S65" i="1" s="1"/>
  <c r="M65" i="1"/>
  <c r="T65" i="1" s="1"/>
  <c r="N65" i="1"/>
  <c r="U65" i="1" s="1"/>
  <c r="K66" i="1"/>
  <c r="R66" i="1" s="1"/>
  <c r="L66" i="1"/>
  <c r="S66" i="1" s="1"/>
  <c r="M66" i="1"/>
  <c r="T66" i="1" s="1"/>
  <c r="N66" i="1"/>
  <c r="U66" i="1" s="1"/>
  <c r="K67" i="1"/>
  <c r="R67" i="1" s="1"/>
  <c r="L67" i="1"/>
  <c r="S67" i="1" s="1"/>
  <c r="M67" i="1"/>
  <c r="T67" i="1" s="1"/>
  <c r="N67" i="1"/>
  <c r="U67" i="1" s="1"/>
  <c r="J61" i="1"/>
  <c r="Q61" i="1" s="1"/>
  <c r="J62" i="1"/>
  <c r="Q62" i="1" s="1"/>
  <c r="J63" i="1"/>
  <c r="Q63" i="1" s="1"/>
  <c r="J64" i="1"/>
  <c r="Q64" i="1" s="1"/>
  <c r="J65" i="1"/>
  <c r="Q65" i="1" s="1"/>
  <c r="J66" i="1"/>
  <c r="Q66" i="1" s="1"/>
  <c r="J67" i="1"/>
  <c r="Q67" i="1" s="1"/>
  <c r="U50" i="1"/>
  <c r="T50" i="1"/>
  <c r="S50" i="1"/>
  <c r="R50" i="1"/>
  <c r="Q50" i="1"/>
  <c r="U49" i="1"/>
  <c r="T49" i="1"/>
  <c r="S49" i="1"/>
  <c r="R49" i="1"/>
  <c r="Q49" i="1"/>
  <c r="U48" i="1"/>
  <c r="T48" i="1"/>
  <c r="S48" i="1"/>
  <c r="R48" i="1"/>
  <c r="Q48" i="1"/>
  <c r="U47" i="1"/>
  <c r="T47" i="1"/>
  <c r="S47" i="1"/>
  <c r="R47" i="1"/>
  <c r="Q47" i="1"/>
  <c r="U46" i="1"/>
  <c r="T46" i="1"/>
  <c r="S46" i="1"/>
  <c r="R46" i="1"/>
  <c r="Q46" i="1"/>
  <c r="U45" i="1"/>
  <c r="T45" i="1"/>
  <c r="S45" i="1"/>
  <c r="R45" i="1"/>
  <c r="Q45" i="1"/>
  <c r="U44" i="1"/>
  <c r="T44" i="1"/>
  <c r="S44" i="1"/>
  <c r="R44" i="1"/>
  <c r="Q44" i="1"/>
  <c r="U43" i="1"/>
  <c r="T43" i="1"/>
  <c r="S43" i="1"/>
  <c r="R43" i="1"/>
  <c r="Q43" i="1"/>
  <c r="K5" i="1"/>
  <c r="J13" i="1"/>
  <c r="I13" i="1"/>
  <c r="H13" i="1"/>
  <c r="I7" i="1"/>
  <c r="T73" i="1" l="1"/>
  <c r="R73" i="1"/>
  <c r="Q74" i="1"/>
  <c r="S74" i="1"/>
  <c r="Q75" i="1"/>
  <c r="S75" i="1"/>
  <c r="Q76" i="1"/>
  <c r="S76" i="1"/>
  <c r="Q77" i="1"/>
  <c r="S77" i="1"/>
  <c r="Q78" i="1"/>
  <c r="S78" i="1"/>
  <c r="Q79" i="1"/>
  <c r="S79" i="1"/>
  <c r="Q80" i="1"/>
  <c r="S80" i="1"/>
  <c r="U74" i="1"/>
  <c r="U76" i="1"/>
  <c r="U78" i="1"/>
  <c r="U80" i="1"/>
  <c r="R74" i="1"/>
  <c r="T74" i="1"/>
  <c r="R75" i="1"/>
  <c r="T75" i="1"/>
  <c r="R76" i="1"/>
  <c r="T76" i="1"/>
  <c r="R77" i="1"/>
  <c r="T77" i="1"/>
  <c r="R78" i="1"/>
  <c r="T78" i="1"/>
  <c r="R79" i="1"/>
  <c r="T79" i="1"/>
  <c r="R80" i="1"/>
  <c r="T80" i="1"/>
  <c r="U75" i="1"/>
  <c r="U77" i="1"/>
  <c r="U79" i="1"/>
  <c r="U73" i="1"/>
  <c r="S73" i="1"/>
  <c r="Q7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Ahmed elrasoly</author>
  </authors>
  <commentList>
    <comment ref="F2" authorId="0" shapeId="0" xr:uid="{B1511F9A-4D31-4E44-B27F-37A8155128DF}">
      <text>
        <r>
          <rPr>
            <b/>
            <sz val="9"/>
            <color indexed="81"/>
            <rFont val="Tahoma"/>
            <family val="2"/>
          </rPr>
          <t>Ahmed elrasoly:</t>
        </r>
        <r>
          <rPr>
            <sz val="9"/>
            <color indexed="81"/>
            <rFont val="Tahoma"/>
            <family val="2"/>
          </rPr>
          <t xml:space="preserve">
Normalised Speed</t>
        </r>
      </text>
    </comment>
    <comment ref="G2" authorId="0" shapeId="0" xr:uid="{0D1C7441-D636-4483-B653-3F86DDB14660}">
      <text>
        <r>
          <rPr>
            <b/>
            <sz val="9"/>
            <color indexed="81"/>
            <rFont val="Tahoma"/>
            <family val="2"/>
          </rPr>
          <t>Ahmed elrasoly:</t>
        </r>
        <r>
          <rPr>
            <sz val="9"/>
            <color indexed="81"/>
            <rFont val="Tahoma"/>
            <family val="2"/>
          </rPr>
          <t xml:space="preserve">
Centred Evap. Temperature</t>
        </r>
      </text>
    </comment>
    <comment ref="H2" authorId="0" shapeId="0" xr:uid="{86225989-DA70-4D82-84A7-1A5EDF7868EC}">
      <text>
        <r>
          <rPr>
            <b/>
            <sz val="9"/>
            <color indexed="81"/>
            <rFont val="Tahoma"/>
            <family val="2"/>
          </rPr>
          <t>Ahmed elrasoly:</t>
        </r>
        <r>
          <rPr>
            <sz val="9"/>
            <color indexed="81"/>
            <rFont val="Tahoma"/>
            <family val="2"/>
          </rPr>
          <t xml:space="preserve">
Centred Cond. 
Temperature</t>
        </r>
      </text>
    </comment>
    <comment ref="L2" authorId="0" shapeId="0" xr:uid="{07C60756-5C40-4985-B4CC-46647929A125}">
      <text>
        <r>
          <rPr>
            <b/>
            <sz val="9"/>
            <color indexed="81"/>
            <rFont val="Tahoma"/>
            <family val="2"/>
          </rPr>
          <t>Ahmed elrasoly:</t>
        </r>
        <r>
          <rPr>
            <sz val="9"/>
            <color indexed="81"/>
            <rFont val="Tahoma"/>
            <family val="2"/>
          </rPr>
          <t xml:space="preserve">
Centred  r</t>
        </r>
      </text>
    </comment>
    <comment ref="M2" authorId="0" shapeId="0" xr:uid="{2093A747-D94D-44FB-828E-4FC3E866A602}">
      <text>
        <r>
          <rPr>
            <b/>
            <sz val="9"/>
            <color indexed="81"/>
            <rFont val="Tahoma"/>
            <family val="2"/>
          </rPr>
          <t>Ahmed elrasoly:</t>
        </r>
        <r>
          <rPr>
            <sz val="9"/>
            <color indexed="81"/>
            <rFont val="Tahoma"/>
            <family val="2"/>
          </rPr>
          <t xml:space="preserve">
Centred Cond. Pressure</t>
        </r>
      </text>
    </comment>
    <comment ref="N2" authorId="0" shapeId="0" xr:uid="{4B26DACD-526D-4CD7-AA9F-00B266F4D31D}">
      <text>
        <r>
          <rPr>
            <b/>
            <sz val="9"/>
            <color indexed="81"/>
            <rFont val="Tahoma"/>
            <family val="2"/>
          </rPr>
          <t>Ahmed elrasoly:</t>
        </r>
        <r>
          <rPr>
            <sz val="9"/>
            <color indexed="81"/>
            <rFont val="Tahoma"/>
            <family val="2"/>
          </rPr>
          <t xml:space="preserve">
Centred Evap. Pressure</t>
        </r>
      </text>
    </comment>
  </commentList>
</comments>
</file>

<file path=xl/sharedStrings.xml><?xml version="1.0" encoding="utf-8"?>
<sst xmlns="http://schemas.openxmlformats.org/spreadsheetml/2006/main" count="539" uniqueCount="117">
  <si>
    <t>(kcal/h)</t>
  </si>
  <si>
    <t>(CC)</t>
  </si>
  <si>
    <t>(  W  )</t>
  </si>
  <si>
    <t>(rpm)</t>
  </si>
  <si>
    <t>C.O P.</t>
  </si>
  <si>
    <t>度</t>
  </si>
  <si>
    <t>蒸</t>
    <rPh sb="0" eb="1">
      <t>ジョウハツ</t>
    </rPh>
    <phoneticPr fontId="2"/>
  </si>
  <si>
    <t>発</t>
    <phoneticPr fontId="2"/>
  </si>
  <si>
    <t>温</t>
    <phoneticPr fontId="2"/>
  </si>
  <si>
    <t>℃</t>
    <phoneticPr fontId="2"/>
  </si>
  <si>
    <t>凝縮温度  ℃</t>
    <rPh sb="0" eb="2">
      <t>ギョウシュク</t>
    </rPh>
    <rPh sb="2" eb="4">
      <t>オンド</t>
    </rPh>
    <phoneticPr fontId="2"/>
  </si>
  <si>
    <t>冷凍能力  Ｑ(kcal/hr) 計算値</t>
    <rPh sb="17" eb="19">
      <t>ケイサン</t>
    </rPh>
    <rPh sb="19" eb="20">
      <t>チ</t>
    </rPh>
    <phoneticPr fontId="2"/>
  </si>
  <si>
    <t>入力 W 計算値</t>
    <rPh sb="0" eb="2">
      <t>ニュウリョク</t>
    </rPh>
    <rPh sb="5" eb="8">
      <t>ケイサンチ</t>
    </rPh>
    <phoneticPr fontId="2"/>
  </si>
  <si>
    <t>体積効率　計算値</t>
    <rPh sb="0" eb="2">
      <t>タイセキ</t>
    </rPh>
    <rPh sb="2" eb="4">
      <t>コウリツ</t>
    </rPh>
    <rPh sb="5" eb="7">
      <t>ケイサン</t>
    </rPh>
    <rPh sb="7" eb="8">
      <t>チ</t>
    </rPh>
    <phoneticPr fontId="2"/>
  </si>
  <si>
    <t>体積効率　測定値</t>
    <rPh sb="0" eb="2">
      <t>タイセキ</t>
    </rPh>
    <rPh sb="2" eb="4">
      <t>コウリツ</t>
    </rPh>
    <rPh sb="5" eb="8">
      <t>ソクテイチ</t>
    </rPh>
    <phoneticPr fontId="2"/>
  </si>
  <si>
    <t>入力  Ｗ</t>
    <phoneticPr fontId="2"/>
  </si>
  <si>
    <t>PC</t>
    <phoneticPr fontId="2"/>
  </si>
  <si>
    <t>PE</t>
    <phoneticPr fontId="2"/>
  </si>
  <si>
    <t>COP</t>
    <phoneticPr fontId="2"/>
  </si>
  <si>
    <t>W</t>
    <phoneticPr fontId="2"/>
  </si>
  <si>
    <t>計算結果</t>
    <rPh sb="0" eb="2">
      <t>ケイサン</t>
    </rPh>
    <rPh sb="2" eb="4">
      <t>ケッカ</t>
    </rPh>
    <phoneticPr fontId="2"/>
  </si>
  <si>
    <t>Y</t>
    <phoneticPr fontId="2"/>
  </si>
  <si>
    <t>コンプ測定条件</t>
    <rPh sb="3" eb="5">
      <t>ソクテイ</t>
    </rPh>
    <rPh sb="5" eb="7">
      <t>ジョウケン</t>
    </rPh>
    <phoneticPr fontId="2"/>
  </si>
  <si>
    <t>有効冷凍能力に対する　COP</t>
    <rPh sb="0" eb="2">
      <t>ユウコウ</t>
    </rPh>
    <rPh sb="2" eb="4">
      <t>レイトウ</t>
    </rPh>
    <rPh sb="4" eb="6">
      <t>ノウリョク</t>
    </rPh>
    <rPh sb="7" eb="8">
      <t>タイ</t>
    </rPh>
    <phoneticPr fontId="2"/>
  </si>
  <si>
    <t>有効冷凍能力の　COP比</t>
    <rPh sb="0" eb="2">
      <t>ユウコウ</t>
    </rPh>
    <rPh sb="2" eb="4">
      <t>レイトウ</t>
    </rPh>
    <rPh sb="4" eb="6">
      <t>ノウリョク</t>
    </rPh>
    <rPh sb="11" eb="12">
      <t>ヒ</t>
    </rPh>
    <phoneticPr fontId="2"/>
  </si>
  <si>
    <t>有効冷凍能力  Ｑ(kcal/hr) 計算値</t>
    <rPh sb="0" eb="2">
      <t>ユウコウ</t>
    </rPh>
    <rPh sb="19" eb="21">
      <t>ケイサン</t>
    </rPh>
    <rPh sb="21" eb="22">
      <t>チ</t>
    </rPh>
    <phoneticPr fontId="2"/>
  </si>
  <si>
    <t>SQ47LAEG 220V 50Hz</t>
    <phoneticPr fontId="2"/>
  </si>
  <si>
    <t>A</t>
    <phoneticPr fontId="2"/>
  </si>
  <si>
    <t>B</t>
    <phoneticPr fontId="2"/>
  </si>
  <si>
    <t>C</t>
    <phoneticPr fontId="2"/>
  </si>
  <si>
    <t>AW</t>
    <phoneticPr fontId="2"/>
  </si>
  <si>
    <t>BW</t>
    <phoneticPr fontId="2"/>
  </si>
  <si>
    <t>CW</t>
    <phoneticPr fontId="2"/>
  </si>
  <si>
    <t>EW</t>
    <phoneticPr fontId="2"/>
  </si>
  <si>
    <t>DW</t>
    <phoneticPr fontId="2"/>
  </si>
  <si>
    <t>ηv=A+B*PC/PE+C*PC</t>
    <phoneticPr fontId="2"/>
  </si>
  <si>
    <t>W=AW+BW*TE+CW*TC+DW*TC*TE+EW*TE^2</t>
    <phoneticPr fontId="2"/>
  </si>
  <si>
    <t>入力　近似式とデーターの比較</t>
    <rPh sb="0" eb="2">
      <t>ニュウリョク</t>
    </rPh>
    <rPh sb="3" eb="6">
      <t>キンジシキ</t>
    </rPh>
    <rPh sb="12" eb="14">
      <t>ヒカク</t>
    </rPh>
    <phoneticPr fontId="2"/>
  </si>
  <si>
    <t>冷凍能力　近似式とデーターの比較</t>
    <rPh sb="0" eb="2">
      <t>レイトウ</t>
    </rPh>
    <rPh sb="2" eb="4">
      <t>ノウリョク</t>
    </rPh>
    <rPh sb="5" eb="8">
      <t>キンジシキ</t>
    </rPh>
    <rPh sb="14" eb="16">
      <t>ヒカク</t>
    </rPh>
    <phoneticPr fontId="2"/>
  </si>
  <si>
    <t>データー</t>
    <phoneticPr fontId="2"/>
  </si>
  <si>
    <t>データー</t>
    <phoneticPr fontId="2"/>
  </si>
  <si>
    <t>Input  （Ｗ）</t>
    <phoneticPr fontId="2"/>
  </si>
  <si>
    <t>Cooling Capacity Ｑ(kcal/hr)</t>
    <phoneticPr fontId="2"/>
  </si>
  <si>
    <t>Cylinder volume</t>
    <phoneticPr fontId="2"/>
  </si>
  <si>
    <t xml:space="preserve">Speed </t>
    <phoneticPr fontId="2"/>
  </si>
  <si>
    <t>Data quantity of Cond.</t>
    <phoneticPr fontId="2"/>
  </si>
  <si>
    <t>Data quantity of  Evap..</t>
    <phoneticPr fontId="2"/>
  </si>
  <si>
    <t>Total data quantity</t>
    <phoneticPr fontId="2"/>
  </si>
  <si>
    <t>Cooling Capacity</t>
    <phoneticPr fontId="2"/>
  </si>
  <si>
    <t>Rated</t>
    <phoneticPr fontId="2"/>
  </si>
  <si>
    <t>Input</t>
    <phoneticPr fontId="2"/>
  </si>
  <si>
    <t xml:space="preserve">Volumetric efficiency ＥＴＶ </t>
    <phoneticPr fontId="2"/>
  </si>
  <si>
    <t xml:space="preserve"> Cond. Temp.（℃） </t>
    <phoneticPr fontId="2"/>
  </si>
  <si>
    <t xml:space="preserve"> Cond. Temp.（℃） </t>
    <phoneticPr fontId="2"/>
  </si>
  <si>
    <t xml:space="preserve"> Cond. Temp.（℃） </t>
    <phoneticPr fontId="2"/>
  </si>
  <si>
    <t xml:space="preserve"> Cond. Temp.（℃） </t>
    <phoneticPr fontId="2"/>
  </si>
  <si>
    <t>Evap. Temp.</t>
    <phoneticPr fontId="2"/>
  </si>
  <si>
    <t>Refrigerant　R-134a=1, R-600a=2</t>
    <phoneticPr fontId="2"/>
  </si>
  <si>
    <t>pcs</t>
    <phoneticPr fontId="2"/>
  </si>
  <si>
    <t>COP</t>
    <phoneticPr fontId="2"/>
  </si>
  <si>
    <t>Calculation by the formula</t>
    <phoneticPr fontId="2"/>
  </si>
  <si>
    <t>Calculation of compressor performance formula data.</t>
  </si>
  <si>
    <t>Compressor name</t>
  </si>
  <si>
    <t>After input the yellow marked data press Calculate</t>
  </si>
  <si>
    <t>R-600a</t>
  </si>
  <si>
    <t>ƒÅv=</t>
  </si>
  <si>
    <t>* PC/PE +</t>
  </si>
  <si>
    <t>* PC</t>
  </si>
  <si>
    <t>W=</t>
  </si>
  <si>
    <t>*TE+</t>
  </si>
  <si>
    <t>*TC+</t>
  </si>
  <si>
    <t>*TC*TE+</t>
  </si>
  <si>
    <t>*TE^2</t>
  </si>
  <si>
    <t>Volumetric efficiency</t>
  </si>
  <si>
    <t>Input</t>
  </si>
  <si>
    <t xml:space="preserve"> Cond. Temp.（℃） </t>
  </si>
  <si>
    <t>Input  （Ｗ）</t>
  </si>
  <si>
    <t>Evap. Temp.</t>
  </si>
  <si>
    <t>Cooling Capacity Ｑ(kcal/hr)</t>
  </si>
  <si>
    <t>ηv=A+B*PC/PE+C*PC</t>
  </si>
  <si>
    <t>W=AW+BW*TE+CW*TC+DW*TC*TE+EW*TE^2</t>
  </si>
  <si>
    <t>A</t>
  </si>
  <si>
    <t>AW</t>
  </si>
  <si>
    <t>B</t>
  </si>
  <si>
    <t>BW</t>
  </si>
  <si>
    <t>C</t>
  </si>
  <si>
    <t>CW</t>
  </si>
  <si>
    <t>DW</t>
  </si>
  <si>
    <t>EW</t>
  </si>
  <si>
    <t>RPM </t>
  </si>
  <si>
    <t>T_E (evap. temp.) </t>
  </si>
  <si>
    <t>T_C (cond. temp.) </t>
  </si>
  <si>
    <t>W (power) </t>
  </si>
  <si>
    <t>Q</t>
  </si>
  <si>
    <t>n</t>
  </si>
  <si>
    <t>Pc</t>
  </si>
  <si>
    <t>Pe</t>
  </si>
  <si>
    <t>r</t>
  </si>
  <si>
    <t>r`</t>
  </si>
  <si>
    <t>P`c</t>
  </si>
  <si>
    <t>P`e</t>
  </si>
  <si>
    <t>T`c</t>
  </si>
  <si>
    <t>T`e</t>
  </si>
  <si>
    <r>
      <t>W</t>
    </r>
    <r>
      <rPr>
        <sz val="12"/>
        <color rgb="FFFF0000"/>
        <rFont val="Times New Roman"/>
        <family val="1"/>
      </rPr>
      <t>=</t>
    </r>
    <r>
      <rPr>
        <i/>
        <sz val="12"/>
        <color rgb="FFFF0000"/>
        <rFont val="KaTeX_Math"/>
      </rPr>
      <t>a</t>
    </r>
    <r>
      <rPr>
        <sz val="7.7"/>
        <color rgb="FFFF0000"/>
        <rFont val="Times New Roman"/>
        <family val="1"/>
      </rPr>
      <t>0</t>
    </r>
    <r>
      <rPr>
        <sz val="1"/>
        <color rgb="FFFF0000"/>
        <rFont val="Times New Roman"/>
        <family val="1"/>
      </rPr>
      <t>​</t>
    </r>
    <r>
      <rPr>
        <sz val="12"/>
        <color rgb="FFFF0000"/>
        <rFont val="Times New Roman"/>
        <family val="1"/>
      </rPr>
      <t>+</t>
    </r>
    <r>
      <rPr>
        <i/>
        <sz val="12"/>
        <color rgb="FFFF0000"/>
        <rFont val="KaTeX_Math"/>
      </rPr>
      <t>a</t>
    </r>
    <r>
      <rPr>
        <sz val="7.7"/>
        <color rgb="FFFF0000"/>
        <rFont val="Times New Roman"/>
        <family val="1"/>
      </rPr>
      <t>1</t>
    </r>
    <r>
      <rPr>
        <sz val="1"/>
        <color rgb="FFFF0000"/>
        <rFont val="Times New Roman"/>
        <family val="1"/>
      </rPr>
      <t>​</t>
    </r>
    <r>
      <rPr>
        <i/>
        <sz val="12"/>
        <color rgb="FFFF0000"/>
        <rFont val="KaTeX_Math"/>
      </rPr>
      <t>n</t>
    </r>
    <r>
      <rPr>
        <sz val="12"/>
        <color rgb="FFFF0000"/>
        <rFont val="Times New Roman"/>
        <family val="1"/>
      </rPr>
      <t>+</t>
    </r>
    <r>
      <rPr>
        <i/>
        <sz val="12"/>
        <color rgb="FFFF0000"/>
        <rFont val="KaTeX_Math"/>
      </rPr>
      <t>a</t>
    </r>
    <r>
      <rPr>
        <sz val="7.7"/>
        <color rgb="FFFF0000"/>
        <rFont val="Times New Roman"/>
        <family val="1"/>
      </rPr>
      <t>2</t>
    </r>
    <r>
      <rPr>
        <sz val="1"/>
        <color rgb="FFFF0000"/>
        <rFont val="Times New Roman"/>
        <family val="1"/>
      </rPr>
      <t>​</t>
    </r>
    <r>
      <rPr>
        <i/>
        <sz val="12"/>
        <color rgb="FFFF0000"/>
        <rFont val="KaTeX_Math"/>
      </rPr>
      <t>n</t>
    </r>
    <r>
      <rPr>
        <sz val="7.7"/>
        <color rgb="FFFF0000"/>
        <rFont val="Times New Roman"/>
        <family val="1"/>
      </rPr>
      <t>2</t>
    </r>
    <r>
      <rPr>
        <sz val="12"/>
        <color rgb="FFFF0000"/>
        <rFont val="Times New Roman"/>
        <family val="1"/>
      </rPr>
      <t>+</t>
    </r>
    <r>
      <rPr>
        <i/>
        <sz val="12"/>
        <color rgb="FFFF0000"/>
        <rFont val="KaTeX_Math"/>
      </rPr>
      <t>b</t>
    </r>
    <r>
      <rPr>
        <sz val="7.7"/>
        <color rgb="FFFF0000"/>
        <rFont val="Times New Roman"/>
        <family val="1"/>
      </rPr>
      <t>1</t>
    </r>
    <r>
      <rPr>
        <sz val="1"/>
        <color rgb="FFFF0000"/>
        <rFont val="Times New Roman"/>
        <family val="1"/>
      </rPr>
      <t>​</t>
    </r>
    <r>
      <rPr>
        <i/>
        <sz val="12"/>
        <color rgb="FFFF0000"/>
        <rFont val="KaTeX_Math"/>
      </rPr>
      <t>nt</t>
    </r>
    <r>
      <rPr>
        <i/>
        <sz val="7.7"/>
        <color rgb="FFFF0000"/>
        <rFont val="KaTeX_Math"/>
      </rPr>
      <t>e</t>
    </r>
    <r>
      <rPr>
        <sz val="1"/>
        <color rgb="FFFF0000"/>
        <rFont val="Times New Roman"/>
        <family val="1"/>
      </rPr>
      <t>​</t>
    </r>
    <r>
      <rPr>
        <sz val="12"/>
        <color rgb="FFFF0000"/>
        <rFont val="Times New Roman"/>
        <family val="1"/>
      </rPr>
      <t>+</t>
    </r>
    <r>
      <rPr>
        <i/>
        <sz val="12"/>
        <color rgb="FFFF0000"/>
        <rFont val="KaTeX_Math"/>
      </rPr>
      <t>c</t>
    </r>
    <r>
      <rPr>
        <sz val="7.7"/>
        <color rgb="FFFF0000"/>
        <rFont val="Times New Roman"/>
        <family val="1"/>
      </rPr>
      <t>1</t>
    </r>
    <r>
      <rPr>
        <sz val="1"/>
        <color rgb="FFFF0000"/>
        <rFont val="Times New Roman"/>
        <family val="1"/>
      </rPr>
      <t>​</t>
    </r>
    <r>
      <rPr>
        <i/>
        <sz val="12"/>
        <color rgb="FFFF0000"/>
        <rFont val="KaTeX_Math"/>
      </rPr>
      <t>nt</t>
    </r>
    <r>
      <rPr>
        <i/>
        <sz val="7.7"/>
        <color rgb="FFFF0000"/>
        <rFont val="KaTeX_Math"/>
      </rPr>
      <t>c</t>
    </r>
    <r>
      <rPr>
        <sz val="1"/>
        <color rgb="FFFF0000"/>
        <rFont val="Times New Roman"/>
        <family val="1"/>
      </rPr>
      <t>​</t>
    </r>
    <r>
      <rPr>
        <sz val="12"/>
        <color rgb="FFFF0000"/>
        <rFont val="Times New Roman"/>
        <family val="1"/>
      </rPr>
      <t>+</t>
    </r>
    <r>
      <rPr>
        <i/>
        <sz val="12"/>
        <color rgb="FFFF0000"/>
        <rFont val="KaTeX_Math"/>
      </rPr>
      <t>d</t>
    </r>
    <r>
      <rPr>
        <sz val="7.7"/>
        <color rgb="FFFF0000"/>
        <rFont val="Times New Roman"/>
        <family val="1"/>
      </rPr>
      <t>1</t>
    </r>
    <r>
      <rPr>
        <sz val="1"/>
        <color rgb="FFFF0000"/>
        <rFont val="Times New Roman"/>
        <family val="1"/>
      </rPr>
      <t>​</t>
    </r>
    <r>
      <rPr>
        <i/>
        <sz val="12"/>
        <color rgb="FFFF0000"/>
        <rFont val="KaTeX_Math"/>
      </rPr>
      <t>nt</t>
    </r>
    <r>
      <rPr>
        <i/>
        <sz val="7.7"/>
        <color rgb="FFFF0000"/>
        <rFont val="KaTeX_Math"/>
      </rPr>
      <t>c</t>
    </r>
    <r>
      <rPr>
        <sz val="1"/>
        <color rgb="FFFF0000"/>
        <rFont val="Times New Roman"/>
        <family val="1"/>
      </rPr>
      <t>​</t>
    </r>
    <r>
      <rPr>
        <i/>
        <sz val="12"/>
        <color rgb="FFFF0000"/>
        <rFont val="KaTeX_Math"/>
      </rPr>
      <t>t</t>
    </r>
    <r>
      <rPr>
        <i/>
        <sz val="7.7"/>
        <color rgb="FFFF0000"/>
        <rFont val="KaTeX_Math"/>
      </rPr>
      <t>e</t>
    </r>
    <r>
      <rPr>
        <sz val="1"/>
        <color rgb="FFFF0000"/>
        <rFont val="Times New Roman"/>
        <family val="1"/>
      </rPr>
      <t>​</t>
    </r>
    <r>
      <rPr>
        <sz val="12"/>
        <color rgb="FFFF0000"/>
        <rFont val="Times New Roman"/>
        <family val="1"/>
      </rPr>
      <t>+</t>
    </r>
    <r>
      <rPr>
        <i/>
        <sz val="12"/>
        <color rgb="FFFF0000"/>
        <rFont val="KaTeX_Math"/>
      </rPr>
      <t>e</t>
    </r>
    <r>
      <rPr>
        <sz val="7.7"/>
        <color rgb="FFFF0000"/>
        <rFont val="Times New Roman"/>
        <family val="1"/>
      </rPr>
      <t>1</t>
    </r>
    <r>
      <rPr>
        <sz val="1"/>
        <color rgb="FFFF0000"/>
        <rFont val="Times New Roman"/>
        <family val="1"/>
      </rPr>
      <t>​</t>
    </r>
    <r>
      <rPr>
        <i/>
        <sz val="12"/>
        <color rgb="FFFF0000"/>
        <rFont val="KaTeX_Math"/>
      </rPr>
      <t>nt</t>
    </r>
    <r>
      <rPr>
        <i/>
        <sz val="7.7"/>
        <color rgb="FFFF0000"/>
        <rFont val="KaTeX_Math"/>
      </rPr>
      <t>e</t>
    </r>
    <r>
      <rPr>
        <sz val="7.7"/>
        <color rgb="FFFF0000"/>
        <rFont val="Times New Roman"/>
        <family val="1"/>
      </rPr>
      <t>2</t>
    </r>
    <r>
      <rPr>
        <sz val="1"/>
        <color rgb="FFFF0000"/>
        <rFont val="Times New Roman"/>
        <family val="1"/>
      </rPr>
      <t>​</t>
    </r>
  </si>
  <si>
    <r>
      <t>η</t>
    </r>
    <r>
      <rPr>
        <i/>
        <sz val="7.7"/>
        <color rgb="FFFF0000"/>
        <rFont val="KaTeX_Math"/>
      </rPr>
      <t>v</t>
    </r>
    <r>
      <rPr>
        <sz val="1"/>
        <color rgb="FFFF0000"/>
        <rFont val="Times New Roman"/>
        <family val="1"/>
      </rPr>
      <t>​</t>
    </r>
    <r>
      <rPr>
        <sz val="12"/>
        <color rgb="FFFF0000"/>
        <rFont val="Times New Roman"/>
        <family val="1"/>
      </rPr>
      <t>=</t>
    </r>
    <r>
      <rPr>
        <i/>
        <sz val="12"/>
        <color rgb="FFFF0000"/>
        <rFont val="KaTeX_Math"/>
      </rPr>
      <t>A</t>
    </r>
    <r>
      <rPr>
        <sz val="7.7"/>
        <color rgb="FFFF0000"/>
        <rFont val="Times New Roman"/>
        <family val="1"/>
      </rPr>
      <t>0</t>
    </r>
    <r>
      <rPr>
        <sz val="1"/>
        <color rgb="FFFF0000"/>
        <rFont val="Times New Roman"/>
        <family val="1"/>
      </rPr>
      <t>​</t>
    </r>
    <r>
      <rPr>
        <sz val="12"/>
        <color rgb="FFFF0000"/>
        <rFont val="Times New Roman"/>
        <family val="1"/>
      </rPr>
      <t>+</t>
    </r>
    <r>
      <rPr>
        <i/>
        <sz val="12"/>
        <color rgb="FFFF0000"/>
        <rFont val="KaTeX_Math"/>
      </rPr>
      <t>A</t>
    </r>
    <r>
      <rPr>
        <sz val="7.7"/>
        <color rgb="FFFF0000"/>
        <rFont val="Times New Roman"/>
        <family val="1"/>
      </rPr>
      <t>1</t>
    </r>
    <r>
      <rPr>
        <sz val="1"/>
        <color rgb="FFFF0000"/>
        <rFont val="Times New Roman"/>
        <family val="1"/>
      </rPr>
      <t>​</t>
    </r>
    <r>
      <rPr>
        <i/>
        <sz val="12"/>
        <color rgb="FFFF0000"/>
        <rFont val="KaTeX_Math"/>
      </rPr>
      <t>n</t>
    </r>
    <r>
      <rPr>
        <sz val="12"/>
        <color rgb="FFFF0000"/>
        <rFont val="Times New Roman"/>
        <family val="1"/>
      </rPr>
      <t>+</t>
    </r>
    <r>
      <rPr>
        <i/>
        <sz val="12"/>
        <color rgb="FFFF0000"/>
        <rFont val="KaTeX_Math"/>
      </rPr>
      <t>B</t>
    </r>
    <r>
      <rPr>
        <sz val="7.7"/>
        <color rgb="FFFF0000"/>
        <rFont val="Times New Roman"/>
        <family val="1"/>
      </rPr>
      <t>0</t>
    </r>
    <r>
      <rPr>
        <sz val="1"/>
        <color rgb="FFFF0000"/>
        <rFont val="Times New Roman"/>
        <family val="1"/>
      </rPr>
      <t>​</t>
    </r>
    <r>
      <rPr>
        <i/>
        <sz val="12"/>
        <color rgb="FFFF0000"/>
        <rFont val="KaTeX_Math"/>
      </rPr>
      <t>r</t>
    </r>
    <r>
      <rPr>
        <i/>
        <sz val="7.7"/>
        <color rgb="FFFF0000"/>
        <rFont val="KaTeX_Math"/>
      </rPr>
      <t>c</t>
    </r>
    <r>
      <rPr>
        <sz val="1"/>
        <color rgb="FFFF0000"/>
        <rFont val="Times New Roman"/>
        <family val="1"/>
      </rPr>
      <t>​</t>
    </r>
    <r>
      <rPr>
        <sz val="12"/>
        <color rgb="FFFF0000"/>
        <rFont val="Times New Roman"/>
        <family val="1"/>
      </rPr>
      <t>+</t>
    </r>
    <r>
      <rPr>
        <i/>
        <sz val="12"/>
        <color rgb="FFFF0000"/>
        <rFont val="KaTeX_Math"/>
      </rPr>
      <t>C</t>
    </r>
    <r>
      <rPr>
        <sz val="7.7"/>
        <color rgb="FFFF0000"/>
        <rFont val="Times New Roman"/>
        <family val="1"/>
      </rPr>
      <t>0</t>
    </r>
    <r>
      <rPr>
        <sz val="1"/>
        <color rgb="FFFF0000"/>
        <rFont val="Times New Roman"/>
        <family val="1"/>
      </rPr>
      <t>​</t>
    </r>
    <r>
      <rPr>
        <i/>
        <sz val="12"/>
        <color rgb="FFFF0000"/>
        <rFont val="KaTeX_Math"/>
      </rPr>
      <t>p</t>
    </r>
    <r>
      <rPr>
        <i/>
        <sz val="7.7"/>
        <color rgb="FFFF0000"/>
        <rFont val="KaTeX_Math"/>
      </rPr>
      <t>c</t>
    </r>
    <r>
      <rPr>
        <sz val="7.7"/>
        <color rgb="FFFF0000"/>
        <rFont val="Times New Roman"/>
        <family val="1"/>
      </rPr>
      <t>,</t>
    </r>
    <r>
      <rPr>
        <i/>
        <sz val="7.7"/>
        <color rgb="FFFF0000"/>
        <rFont val="KaTeX_Math"/>
      </rPr>
      <t>c</t>
    </r>
    <r>
      <rPr>
        <sz val="1"/>
        <color rgb="FFFF0000"/>
        <rFont val="Times New Roman"/>
        <family val="1"/>
      </rPr>
      <t>​</t>
    </r>
  </si>
  <si>
    <t>a0</t>
  </si>
  <si>
    <t>a1</t>
  </si>
  <si>
    <t>a2</t>
  </si>
  <si>
    <t>b1</t>
  </si>
  <si>
    <t>d1</t>
  </si>
  <si>
    <t>e1</t>
  </si>
  <si>
    <t>A0</t>
  </si>
  <si>
    <t>A1</t>
  </si>
  <si>
    <t>B0</t>
  </si>
  <si>
    <t>C0</t>
  </si>
  <si>
    <t>Raw Data</t>
  </si>
  <si>
    <t>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</si>
</sst>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0.0000"/>
    <numFmt numFmtId="165" formatCode="0.00000"/>
    <numFmt numFmtId="166" formatCode="0.000"/>
    <numFmt numFmtId="167" formatCode="0.0"/>
    <numFmt numFmtId="168" formatCode="###"/>
    <numFmt numFmtId="169" formatCode="#,###.#"/>
    <numFmt numFmtId="170" formatCode="###.0"/>
    <numFmt numFmtId="171" formatCode="#,###.0"/>
    <numFmt numFmtId="172" formatCode="0.0_ "/>
    <numFmt numFmtId="173" formatCode="0.0_);[Red]\(0.0\)"/>
    <numFmt numFmtId="174" formatCode="0_ "/>
    <numFmt numFmtId="175" formatCode="0.0000&quot;+&quot;"/>
    <numFmt numFmtId="176" formatCode="000.00&quot;+&quot;"/>
    <numFmt numFmtId="177" formatCode="0.00&quot;+&quot;"/>
    <numFmt numFmtId="178" formatCode="0.000_ "/>
    <numFmt numFmtId="179" formatCode="0.0%"/>
    <numFmt numFmtId="180" formatCode="0.000000_ "/>
    <numFmt numFmtId="181" formatCode="0.00000_ "/>
    <numFmt numFmtId="182" formatCode="0.00_ "/>
    <numFmt numFmtId="183" formatCode="0.0000_ "/>
    <numFmt numFmtId="184" formatCode="#,##0.0_ "/>
  </numFmts>
  <fonts count="26">
    <font>
      <sz val="11"/>
      <name val="明朝"/>
      <family val="3"/>
      <charset val="128"/>
    </font>
    <font>
      <sz val="11"/>
      <name val="明朝"/>
      <family val="3"/>
      <charset val="128"/>
    </font>
    <font>
      <sz val="6"/>
      <name val="ＭＳ Ｐ明朝"/>
      <family val="1"/>
      <charset val="128"/>
    </font>
    <font>
      <sz val="6"/>
      <name val="明朝"/>
      <family val="3"/>
      <charset val="128"/>
    </font>
    <font>
      <sz val="11"/>
      <color rgb="FF000000"/>
      <name val="ＭＳ Ｐゴシック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9"/>
      <name val="Calibri"/>
      <family val="2"/>
      <scheme val="minor"/>
    </font>
    <font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宋体"/>
    </font>
    <font>
      <sz val="12"/>
      <color rgb="FF000000"/>
      <name val="Calibri"/>
      <family val="2"/>
    </font>
    <font>
      <sz val="9.6"/>
      <color rgb="FFFF0000"/>
      <name val="Consolas"/>
      <family val="3"/>
      <charset val="178"/>
    </font>
    <font>
      <i/>
      <sz val="12"/>
      <color rgb="FFFF0000"/>
      <name val="KaTeX_Math"/>
      <charset val="178"/>
    </font>
    <font>
      <sz val="12"/>
      <color rgb="FFFF0000"/>
      <name val="Times New Roman"/>
      <family val="1"/>
    </font>
    <font>
      <i/>
      <sz val="7.7"/>
      <color rgb="FFFF0000"/>
      <name val="KaTeX_Math"/>
    </font>
    <font>
      <sz val="1"/>
      <color rgb="FFFF000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2"/>
      <color rgb="FFFF0000"/>
      <name val="KaTeX_Math"/>
    </font>
    <font>
      <sz val="7.7"/>
      <color rgb="FFFF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5" fillId="0" borderId="0">
      <alignment vertical="center"/>
    </xf>
  </cellStyleXfs>
  <cellXfs count="240">
    <xf numFmtId="0" fontId="0" fillId="0" borderId="0" xfId="0"/>
    <xf numFmtId="0" fontId="5" fillId="0" borderId="0" xfId="0" applyFo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Continuous"/>
    </xf>
    <xf numFmtId="0" fontId="5" fillId="0" borderId="0" xfId="0" applyFont="1" applyAlignment="1">
      <alignment horizontal="left"/>
    </xf>
    <xf numFmtId="0" fontId="5" fillId="0" borderId="2" xfId="0" applyFont="1" applyBorder="1" applyAlignment="1">
      <alignment horizontal="centerContinuous"/>
    </xf>
    <xf numFmtId="0" fontId="5" fillId="0" borderId="1" xfId="0" applyFont="1" applyBorder="1" applyAlignment="1">
      <alignment horizontal="centerContinuous"/>
    </xf>
    <xf numFmtId="0" fontId="9" fillId="2" borderId="0" xfId="0" applyFont="1" applyFill="1" applyAlignment="1">
      <alignment horizontal="center"/>
    </xf>
    <xf numFmtId="0" fontId="5" fillId="0" borderId="0" xfId="0" applyFont="1" applyAlignment="1">
      <alignment horizontal="centerContinuous"/>
    </xf>
    <xf numFmtId="0" fontId="10" fillId="0" borderId="0" xfId="0" applyFont="1" applyAlignment="1">
      <alignment horizontal="centerContinuous"/>
    </xf>
    <xf numFmtId="0" fontId="11" fillId="0" borderId="0" xfId="0" applyFont="1" applyAlignment="1">
      <alignment horizontal="centerContinuous"/>
    </xf>
    <xf numFmtId="0" fontId="8" fillId="3" borderId="6" xfId="0" applyFont="1" applyFill="1" applyBorder="1" applyAlignment="1">
      <alignment horizontal="right"/>
    </xf>
    <xf numFmtId="0" fontId="5" fillId="0" borderId="6" xfId="0" applyFont="1" applyBorder="1" applyAlignment="1">
      <alignment horizontal="centerContinuous"/>
    </xf>
    <xf numFmtId="0" fontId="5" fillId="0" borderId="10" xfId="0" applyFont="1" applyBorder="1" applyAlignment="1">
      <alignment horizontal="center" vertical="center"/>
    </xf>
    <xf numFmtId="183" fontId="5" fillId="0" borderId="10" xfId="0" applyNumberFormat="1" applyFont="1" applyBorder="1"/>
    <xf numFmtId="0" fontId="5" fillId="0" borderId="10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167" fontId="5" fillId="0" borderId="11" xfId="0" applyNumberFormat="1" applyFont="1" applyBorder="1"/>
    <xf numFmtId="0" fontId="12" fillId="0" borderId="9" xfId="0" applyFont="1" applyBorder="1"/>
    <xf numFmtId="172" fontId="5" fillId="0" borderId="2" xfId="0" applyNumberFormat="1" applyFont="1" applyBorder="1"/>
    <xf numFmtId="0" fontId="5" fillId="0" borderId="1" xfId="0" applyFont="1" applyBorder="1"/>
    <xf numFmtId="181" fontId="5" fillId="0" borderId="10" xfId="0" applyNumberFormat="1" applyFont="1" applyBorder="1"/>
    <xf numFmtId="0" fontId="12" fillId="0" borderId="4" xfId="0" applyFont="1" applyBorder="1" applyAlignment="1">
      <alignment horizontal="left"/>
    </xf>
    <xf numFmtId="0" fontId="5" fillId="0" borderId="4" xfId="0" applyFont="1" applyBorder="1" applyAlignment="1">
      <alignment horizontal="centerContinuous"/>
    </xf>
    <xf numFmtId="0" fontId="5" fillId="0" borderId="5" xfId="0" applyFont="1" applyBorder="1" applyAlignment="1">
      <alignment horizontal="centerContinuous"/>
    </xf>
    <xf numFmtId="167" fontId="5" fillId="0" borderId="2" xfId="0" applyNumberFormat="1" applyFont="1" applyBorder="1"/>
    <xf numFmtId="180" fontId="5" fillId="0" borderId="10" xfId="0" applyNumberFormat="1" applyFont="1" applyBorder="1"/>
    <xf numFmtId="2" fontId="5" fillId="0" borderId="2" xfId="0" applyNumberFormat="1" applyFont="1" applyBorder="1"/>
    <xf numFmtId="0" fontId="12" fillId="0" borderId="4" xfId="0" applyFont="1" applyBorder="1" applyAlignment="1">
      <alignment horizontal="centerContinuous"/>
    </xf>
    <xf numFmtId="0" fontId="5" fillId="0" borderId="6" xfId="0" applyFont="1" applyBorder="1" applyAlignment="1">
      <alignment horizontal="right"/>
    </xf>
    <xf numFmtId="0" fontId="10" fillId="0" borderId="2" xfId="0" applyFont="1" applyBorder="1"/>
    <xf numFmtId="0" fontId="5" fillId="0" borderId="11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3" xfId="0" applyFont="1" applyBorder="1" applyAlignment="1">
      <alignment horizontal="centerContinuous"/>
    </xf>
    <xf numFmtId="0" fontId="5" fillId="0" borderId="13" xfId="0" applyFont="1" applyBorder="1" applyAlignment="1">
      <alignment horizontal="center"/>
    </xf>
    <xf numFmtId="2" fontId="5" fillId="0" borderId="0" xfId="0" applyNumberFormat="1" applyFont="1"/>
    <xf numFmtId="0" fontId="5" fillId="0" borderId="11" xfId="0" applyFont="1" applyBorder="1"/>
    <xf numFmtId="0" fontId="5" fillId="0" borderId="9" xfId="0" applyFont="1" applyBorder="1"/>
    <xf numFmtId="0" fontId="5" fillId="0" borderId="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3" borderId="1" xfId="0" applyFont="1" applyFill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168" fontId="13" fillId="0" borderId="1" xfId="0" applyNumberFormat="1" applyFont="1" applyBorder="1" applyAlignment="1">
      <alignment horizontal="center"/>
    </xf>
    <xf numFmtId="166" fontId="5" fillId="0" borderId="0" xfId="0" applyNumberFormat="1" applyFont="1"/>
    <xf numFmtId="0" fontId="5" fillId="0" borderId="4" xfId="0" applyFont="1" applyBorder="1"/>
    <xf numFmtId="0" fontId="5" fillId="0" borderId="5" xfId="0" applyFont="1" applyBorder="1"/>
    <xf numFmtId="167" fontId="5" fillId="0" borderId="10" xfId="0" applyNumberFormat="1" applyFont="1" applyBorder="1" applyAlignment="1">
      <alignment horizontal="center"/>
    </xf>
    <xf numFmtId="170" fontId="13" fillId="3" borderId="6" xfId="0" applyNumberFormat="1" applyFont="1" applyFill="1" applyBorder="1" applyAlignment="1">
      <alignment horizontal="right"/>
    </xf>
    <xf numFmtId="184" fontId="13" fillId="3" borderId="10" xfId="0" applyNumberFormat="1" applyFont="1" applyFill="1" applyBorder="1" applyAlignment="1">
      <alignment horizontal="right"/>
    </xf>
    <xf numFmtId="170" fontId="13" fillId="0" borderId="6" xfId="0" applyNumberFormat="1" applyFont="1" applyBorder="1" applyAlignment="1">
      <alignment horizontal="right"/>
    </xf>
    <xf numFmtId="172" fontId="13" fillId="3" borderId="10" xfId="0" applyNumberFormat="1" applyFont="1" applyFill="1" applyBorder="1"/>
    <xf numFmtId="166" fontId="13" fillId="0" borderId="1" xfId="0" applyNumberFormat="1" applyFont="1" applyBorder="1" applyAlignment="1">
      <alignment horizontal="center"/>
    </xf>
    <xf numFmtId="172" fontId="13" fillId="0" borderId="10" xfId="0" applyNumberFormat="1" applyFont="1" applyBorder="1"/>
    <xf numFmtId="182" fontId="13" fillId="0" borderId="10" xfId="0" applyNumberFormat="1" applyFont="1" applyBorder="1" applyAlignment="1">
      <alignment horizontal="right"/>
    </xf>
    <xf numFmtId="166" fontId="13" fillId="0" borderId="5" xfId="0" applyNumberFormat="1" applyFont="1" applyBorder="1" applyAlignment="1">
      <alignment horizontal="center"/>
    </xf>
    <xf numFmtId="169" fontId="13" fillId="3" borderId="10" xfId="0" applyNumberFormat="1" applyFont="1" applyFill="1" applyBorder="1" applyAlignment="1">
      <alignment horizontal="right"/>
    </xf>
    <xf numFmtId="167" fontId="13" fillId="3" borderId="5" xfId="0" applyNumberFormat="1" applyFont="1" applyFill="1" applyBorder="1" applyAlignment="1">
      <alignment horizontal="center"/>
    </xf>
    <xf numFmtId="169" fontId="13" fillId="3" borderId="6" xfId="0" applyNumberFormat="1" applyFont="1" applyFill="1" applyBorder="1" applyAlignment="1">
      <alignment horizontal="right"/>
    </xf>
    <xf numFmtId="169" fontId="13" fillId="3" borderId="5" xfId="0" applyNumberFormat="1" applyFont="1" applyFill="1" applyBorder="1" applyAlignment="1">
      <alignment horizontal="right"/>
    </xf>
    <xf numFmtId="169" fontId="13" fillId="3" borderId="24" xfId="0" applyNumberFormat="1" applyFont="1" applyFill="1" applyBorder="1" applyAlignment="1">
      <alignment horizontal="right"/>
    </xf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75" fontId="7" fillId="0" borderId="0" xfId="0" applyNumberFormat="1" applyFont="1"/>
    <xf numFmtId="180" fontId="7" fillId="0" borderId="0" xfId="0" applyNumberFormat="1" applyFont="1"/>
    <xf numFmtId="181" fontId="7" fillId="0" borderId="0" xfId="0" applyNumberFormat="1" applyFont="1"/>
    <xf numFmtId="165" fontId="7" fillId="0" borderId="0" xfId="0" applyNumberFormat="1" applyFont="1" applyAlignment="1">
      <alignment horizontal="centerContinuous"/>
    </xf>
    <xf numFmtId="1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77" fontId="7" fillId="0" borderId="0" xfId="0" applyNumberFormat="1" applyFont="1"/>
    <xf numFmtId="164" fontId="7" fillId="0" borderId="0" xfId="0" applyNumberFormat="1" applyFont="1"/>
    <xf numFmtId="176" fontId="7" fillId="0" borderId="0" xfId="0" applyNumberFormat="1" applyFont="1"/>
    <xf numFmtId="166" fontId="7" fillId="0" borderId="0" xfId="0" applyNumberFormat="1" applyFont="1"/>
    <xf numFmtId="0" fontId="7" fillId="0" borderId="0" xfId="0" applyFont="1" applyAlignment="1">
      <alignment horizontal="center"/>
    </xf>
    <xf numFmtId="165" fontId="7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0" xfId="0" applyFont="1"/>
    <xf numFmtId="171" fontId="13" fillId="0" borderId="10" xfId="0" applyNumberFormat="1" applyFont="1" applyBorder="1"/>
    <xf numFmtId="171" fontId="13" fillId="0" borderId="1" xfId="0" applyNumberFormat="1" applyFont="1" applyBorder="1"/>
    <xf numFmtId="171" fontId="13" fillId="0" borderId="3" xfId="0" applyNumberFormat="1" applyFont="1" applyBorder="1"/>
    <xf numFmtId="2" fontId="13" fillId="0" borderId="1" xfId="0" applyNumberFormat="1" applyFont="1" applyBorder="1" applyAlignment="1">
      <alignment horizontal="center"/>
    </xf>
    <xf numFmtId="171" fontId="13" fillId="0" borderId="6" xfId="0" applyNumberFormat="1" applyFont="1" applyBorder="1"/>
    <xf numFmtId="171" fontId="13" fillId="0" borderId="5" xfId="0" applyNumberFormat="1" applyFont="1" applyBorder="1"/>
    <xf numFmtId="171" fontId="13" fillId="0" borderId="24" xfId="0" applyNumberFormat="1" applyFont="1" applyBorder="1"/>
    <xf numFmtId="2" fontId="13" fillId="0" borderId="5" xfId="0" applyNumberFormat="1" applyFont="1" applyBorder="1" applyAlignment="1">
      <alignment horizontal="center"/>
    </xf>
    <xf numFmtId="170" fontId="13" fillId="0" borderId="6" xfId="0" applyNumberFormat="1" applyFont="1" applyBorder="1" applyAlignment="1">
      <alignment horizontal="center"/>
    </xf>
    <xf numFmtId="0" fontId="5" fillId="0" borderId="0" xfId="0" applyFont="1" applyAlignment="1">
      <alignment horizontal="right"/>
    </xf>
    <xf numFmtId="2" fontId="5" fillId="0" borderId="0" xfId="0" applyNumberFormat="1" applyFont="1" applyAlignment="1">
      <alignment horizontal="left"/>
    </xf>
    <xf numFmtId="164" fontId="5" fillId="0" borderId="0" xfId="0" applyNumberFormat="1" applyFont="1"/>
    <xf numFmtId="165" fontId="5" fillId="0" borderId="0" xfId="0" applyNumberFormat="1" applyFont="1"/>
    <xf numFmtId="0" fontId="8" fillId="0" borderId="0" xfId="0" applyFont="1"/>
    <xf numFmtId="166" fontId="5" fillId="0" borderId="0" xfId="0" applyNumberFormat="1" applyFont="1" applyAlignment="1">
      <alignment horizontal="centerContinuous"/>
    </xf>
    <xf numFmtId="0" fontId="8" fillId="0" borderId="0" xfId="0" applyFont="1" applyAlignment="1">
      <alignment horizontal="centerContinuous"/>
    </xf>
    <xf numFmtId="165" fontId="5" fillId="0" borderId="2" xfId="0" applyNumberFormat="1" applyFont="1" applyBorder="1"/>
    <xf numFmtId="2" fontId="5" fillId="0" borderId="3" xfId="0" applyNumberFormat="1" applyFont="1" applyBorder="1"/>
    <xf numFmtId="0" fontId="5" fillId="0" borderId="7" xfId="0" applyFont="1" applyBorder="1"/>
    <xf numFmtId="0" fontId="5" fillId="0" borderId="22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6" xfId="0" applyFont="1" applyBorder="1"/>
    <xf numFmtId="174" fontId="5" fillId="0" borderId="10" xfId="0" applyNumberFormat="1" applyFont="1" applyBorder="1" applyAlignment="1">
      <alignment horizontal="centerContinuous"/>
    </xf>
    <xf numFmtId="174" fontId="5" fillId="0" borderId="10" xfId="0" applyNumberFormat="1" applyFont="1" applyBorder="1"/>
    <xf numFmtId="2" fontId="5" fillId="0" borderId="10" xfId="0" applyNumberFormat="1" applyFont="1" applyBorder="1"/>
    <xf numFmtId="0" fontId="5" fillId="0" borderId="10" xfId="0" applyFont="1" applyBorder="1"/>
    <xf numFmtId="0" fontId="5" fillId="0" borderId="10" xfId="0" applyFont="1" applyBorder="1" applyAlignment="1">
      <alignment horizontal="centerContinuous"/>
    </xf>
    <xf numFmtId="0" fontId="5" fillId="0" borderId="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173" fontId="5" fillId="0" borderId="16" xfId="0" applyNumberFormat="1" applyFont="1" applyBorder="1" applyAlignment="1">
      <alignment horizontal="centerContinuous"/>
    </xf>
    <xf numFmtId="173" fontId="5" fillId="0" borderId="16" xfId="0" applyNumberFormat="1" applyFont="1" applyBorder="1"/>
    <xf numFmtId="2" fontId="5" fillId="0" borderId="16" xfId="0" applyNumberFormat="1" applyFont="1" applyBorder="1"/>
    <xf numFmtId="182" fontId="5" fillId="0" borderId="16" xfId="0" applyNumberFormat="1" applyFont="1" applyBorder="1"/>
    <xf numFmtId="182" fontId="5" fillId="0" borderId="16" xfId="0" applyNumberFormat="1" applyFont="1" applyBorder="1" applyAlignment="1">
      <alignment horizontal="centerContinuous"/>
    </xf>
    <xf numFmtId="0" fontId="5" fillId="0" borderId="14" xfId="0" applyFont="1" applyBorder="1" applyAlignment="1">
      <alignment horizontal="center"/>
    </xf>
    <xf numFmtId="174" fontId="5" fillId="0" borderId="16" xfId="0" applyNumberFormat="1" applyFont="1" applyBorder="1" applyAlignment="1">
      <alignment horizontal="center"/>
    </xf>
    <xf numFmtId="178" fontId="5" fillId="0" borderId="16" xfId="0" applyNumberFormat="1" applyFont="1" applyBorder="1"/>
    <xf numFmtId="0" fontId="5" fillId="0" borderId="8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173" fontId="5" fillId="0" borderId="17" xfId="0" applyNumberFormat="1" applyFont="1" applyBorder="1" applyAlignment="1">
      <alignment horizontal="centerContinuous"/>
    </xf>
    <xf numFmtId="173" fontId="5" fillId="0" borderId="17" xfId="0" applyNumberFormat="1" applyFont="1" applyBorder="1"/>
    <xf numFmtId="2" fontId="5" fillId="0" borderId="17" xfId="0" applyNumberFormat="1" applyFont="1" applyBorder="1"/>
    <xf numFmtId="182" fontId="5" fillId="0" borderId="17" xfId="0" applyNumberFormat="1" applyFont="1" applyBorder="1"/>
    <xf numFmtId="182" fontId="5" fillId="0" borderId="17" xfId="0" applyNumberFormat="1" applyFont="1" applyBorder="1" applyAlignment="1">
      <alignment horizontal="centerContinuous"/>
    </xf>
    <xf numFmtId="174" fontId="5" fillId="0" borderId="17" xfId="0" applyNumberFormat="1" applyFont="1" applyBorder="1" applyAlignment="1">
      <alignment horizontal="center"/>
    </xf>
    <xf numFmtId="178" fontId="5" fillId="0" borderId="17" xfId="0" applyNumberFormat="1" applyFont="1" applyBorder="1"/>
    <xf numFmtId="0" fontId="5" fillId="0" borderId="8" xfId="0" applyFont="1" applyBorder="1"/>
    <xf numFmtId="0" fontId="5" fillId="0" borderId="14" xfId="0" applyFont="1" applyBorder="1"/>
    <xf numFmtId="0" fontId="5" fillId="0" borderId="18" xfId="0" applyFont="1" applyBorder="1" applyAlignment="1">
      <alignment horizontal="center"/>
    </xf>
    <xf numFmtId="173" fontId="5" fillId="0" borderId="18" xfId="0" applyNumberFormat="1" applyFont="1" applyBorder="1" applyAlignment="1">
      <alignment horizontal="centerContinuous"/>
    </xf>
    <xf numFmtId="173" fontId="5" fillId="0" borderId="18" xfId="0" applyNumberFormat="1" applyFont="1" applyBorder="1"/>
    <xf numFmtId="2" fontId="5" fillId="0" borderId="18" xfId="0" applyNumberFormat="1" applyFont="1" applyBorder="1"/>
    <xf numFmtId="182" fontId="5" fillId="0" borderId="18" xfId="0" applyNumberFormat="1" applyFont="1" applyBorder="1"/>
    <xf numFmtId="182" fontId="5" fillId="0" borderId="18" xfId="0" applyNumberFormat="1" applyFont="1" applyBorder="1" applyAlignment="1">
      <alignment horizontal="centerContinuous"/>
    </xf>
    <xf numFmtId="0" fontId="5" fillId="0" borderId="15" xfId="0" applyFont="1" applyBorder="1"/>
    <xf numFmtId="174" fontId="5" fillId="0" borderId="18" xfId="0" applyNumberFormat="1" applyFont="1" applyBorder="1" applyAlignment="1">
      <alignment horizontal="center"/>
    </xf>
    <xf numFmtId="178" fontId="5" fillId="0" borderId="18" xfId="0" applyNumberFormat="1" applyFont="1" applyBorder="1"/>
    <xf numFmtId="0" fontId="5" fillId="0" borderId="24" xfId="0" applyFont="1" applyBorder="1"/>
    <xf numFmtId="0" fontId="5" fillId="0" borderId="2" xfId="0" applyFont="1" applyBorder="1"/>
    <xf numFmtId="0" fontId="5" fillId="0" borderId="3" xfId="0" applyFont="1" applyBorder="1" applyAlignment="1">
      <alignment horizontal="center"/>
    </xf>
    <xf numFmtId="167" fontId="5" fillId="0" borderId="10" xfId="0" applyNumberFormat="1" applyFont="1" applyBorder="1"/>
    <xf numFmtId="167" fontId="5" fillId="0" borderId="1" xfId="0" applyNumberFormat="1" applyFont="1" applyBorder="1" applyAlignment="1">
      <alignment horizontal="center"/>
    </xf>
    <xf numFmtId="172" fontId="5" fillId="0" borderId="16" xfId="0" applyNumberFormat="1" applyFont="1" applyBorder="1"/>
    <xf numFmtId="172" fontId="5" fillId="0" borderId="19" xfId="0" applyNumberFormat="1" applyFont="1" applyBorder="1"/>
    <xf numFmtId="182" fontId="5" fillId="0" borderId="16" xfId="0" applyNumberFormat="1" applyFont="1" applyBorder="1" applyAlignment="1">
      <alignment horizontal="right"/>
    </xf>
    <xf numFmtId="172" fontId="5" fillId="0" borderId="17" xfId="0" applyNumberFormat="1" applyFont="1" applyBorder="1"/>
    <xf numFmtId="172" fontId="5" fillId="0" borderId="20" xfId="0" applyNumberFormat="1" applyFont="1" applyBorder="1"/>
    <xf numFmtId="182" fontId="5" fillId="0" borderId="17" xfId="0" applyNumberFormat="1" applyFont="1" applyBorder="1" applyAlignment="1">
      <alignment horizontal="right"/>
    </xf>
    <xf numFmtId="0" fontId="5" fillId="0" borderId="12" xfId="0" applyFont="1" applyBorder="1"/>
    <xf numFmtId="172" fontId="5" fillId="0" borderId="18" xfId="0" applyNumberFormat="1" applyFont="1" applyBorder="1"/>
    <xf numFmtId="172" fontId="5" fillId="0" borderId="21" xfId="0" applyNumberFormat="1" applyFont="1" applyBorder="1"/>
    <xf numFmtId="182" fontId="5" fillId="0" borderId="18" xfId="0" applyNumberFormat="1" applyFont="1" applyBorder="1" applyAlignment="1">
      <alignment horizontal="right"/>
    </xf>
    <xf numFmtId="172" fontId="5" fillId="0" borderId="0" xfId="0" applyNumberFormat="1" applyFont="1"/>
    <xf numFmtId="174" fontId="5" fillId="0" borderId="0" xfId="0" applyNumberFormat="1" applyFont="1" applyAlignment="1">
      <alignment horizontal="center"/>
    </xf>
    <xf numFmtId="172" fontId="5" fillId="0" borderId="0" xfId="0" applyNumberFormat="1" applyFont="1" applyAlignment="1">
      <alignment horizontal="right"/>
    </xf>
    <xf numFmtId="0" fontId="5" fillId="0" borderId="6" xfId="0" applyFont="1" applyBorder="1" applyAlignment="1">
      <alignment horizontal="center"/>
    </xf>
    <xf numFmtId="167" fontId="5" fillId="0" borderId="0" xfId="0" applyNumberFormat="1" applyFont="1" applyAlignment="1">
      <alignment horizontal="center"/>
    </xf>
    <xf numFmtId="178" fontId="5" fillId="0" borderId="0" xfId="0" applyNumberFormat="1" applyFont="1"/>
    <xf numFmtId="179" fontId="5" fillId="0" borderId="46" xfId="1" applyNumberFormat="1" applyFont="1" applyBorder="1"/>
    <xf numFmtId="179" fontId="5" fillId="0" borderId="47" xfId="1" applyNumberFormat="1" applyFont="1" applyBorder="1"/>
    <xf numFmtId="179" fontId="5" fillId="0" borderId="48" xfId="1" applyNumberFormat="1" applyFont="1" applyBorder="1"/>
    <xf numFmtId="0" fontId="5" fillId="0" borderId="26" xfId="0" applyFont="1" applyBorder="1"/>
    <xf numFmtId="0" fontId="5" fillId="0" borderId="27" xfId="0" applyFont="1" applyBorder="1"/>
    <xf numFmtId="0" fontId="5" fillId="0" borderId="29" xfId="0" applyFont="1" applyBorder="1"/>
    <xf numFmtId="0" fontId="5" fillId="0" borderId="30" xfId="0" applyFont="1" applyBorder="1"/>
    <xf numFmtId="0" fontId="5" fillId="0" borderId="31" xfId="0" applyFont="1" applyBorder="1"/>
    <xf numFmtId="172" fontId="5" fillId="0" borderId="23" xfId="0" applyNumberFormat="1" applyFont="1" applyBorder="1"/>
    <xf numFmtId="172" fontId="5" fillId="0" borderId="28" xfId="0" applyNumberFormat="1" applyFont="1" applyBorder="1"/>
    <xf numFmtId="0" fontId="5" fillId="0" borderId="32" xfId="0" applyFont="1" applyBorder="1"/>
    <xf numFmtId="182" fontId="5" fillId="0" borderId="35" xfId="0" applyNumberFormat="1" applyFont="1" applyBorder="1"/>
    <xf numFmtId="182" fontId="5" fillId="0" borderId="36" xfId="0" applyNumberFormat="1" applyFont="1" applyBorder="1"/>
    <xf numFmtId="182" fontId="5" fillId="0" borderId="37" xfId="0" applyNumberFormat="1" applyFont="1" applyBorder="1"/>
    <xf numFmtId="172" fontId="5" fillId="0" borderId="35" xfId="0" applyNumberFormat="1" applyFont="1" applyBorder="1"/>
    <xf numFmtId="172" fontId="5" fillId="0" borderId="36" xfId="0" applyNumberFormat="1" applyFont="1" applyBorder="1"/>
    <xf numFmtId="172" fontId="5" fillId="0" borderId="37" xfId="0" applyNumberFormat="1" applyFont="1" applyBorder="1"/>
    <xf numFmtId="0" fontId="5" fillId="0" borderId="33" xfId="0" applyFont="1" applyBorder="1"/>
    <xf numFmtId="182" fontId="5" fillId="0" borderId="38" xfId="0" applyNumberFormat="1" applyFont="1" applyBorder="1"/>
    <xf numFmtId="182" fontId="5" fillId="0" borderId="10" xfId="0" applyNumberFormat="1" applyFont="1" applyBorder="1"/>
    <xf numFmtId="182" fontId="5" fillId="0" borderId="39" xfId="0" applyNumberFormat="1" applyFont="1" applyBorder="1"/>
    <xf numFmtId="172" fontId="5" fillId="0" borderId="38" xfId="0" applyNumberFormat="1" applyFont="1" applyBorder="1"/>
    <xf numFmtId="172" fontId="5" fillId="0" borderId="10" xfId="0" applyNumberFormat="1" applyFont="1" applyBorder="1"/>
    <xf numFmtId="172" fontId="5" fillId="0" borderId="39" xfId="0" applyNumberFormat="1" applyFont="1" applyBorder="1"/>
    <xf numFmtId="0" fontId="5" fillId="0" borderId="34" xfId="0" applyFont="1" applyBorder="1"/>
    <xf numFmtId="182" fontId="5" fillId="0" borderId="40" xfId="0" applyNumberFormat="1" applyFont="1" applyBorder="1"/>
    <xf numFmtId="182" fontId="5" fillId="0" borderId="41" xfId="0" applyNumberFormat="1" applyFont="1" applyBorder="1"/>
    <xf numFmtId="182" fontId="5" fillId="0" borderId="42" xfId="0" applyNumberFormat="1" applyFont="1" applyBorder="1"/>
    <xf numFmtId="172" fontId="5" fillId="0" borderId="40" xfId="0" applyNumberFormat="1" applyFont="1" applyBorder="1"/>
    <xf numFmtId="172" fontId="5" fillId="0" borderId="41" xfId="0" applyNumberFormat="1" applyFont="1" applyBorder="1"/>
    <xf numFmtId="172" fontId="5" fillId="0" borderId="42" xfId="0" applyNumberFormat="1" applyFont="1" applyBorder="1"/>
    <xf numFmtId="173" fontId="16" fillId="0" borderId="10" xfId="0" applyNumberFormat="1" applyFont="1" applyBorder="1" applyAlignment="1">
      <alignment horizontal="center" vertical="center" wrapText="1"/>
    </xf>
    <xf numFmtId="173" fontId="16" fillId="0" borderId="10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 textRotation="90"/>
    </xf>
    <xf numFmtId="0" fontId="5" fillId="0" borderId="8" xfId="0" applyFont="1" applyBorder="1" applyAlignment="1">
      <alignment horizontal="center" vertical="center" textRotation="90"/>
    </xf>
    <xf numFmtId="0" fontId="5" fillId="0" borderId="6" xfId="0" applyFont="1" applyBorder="1" applyAlignment="1">
      <alignment horizontal="center" vertical="center" textRotation="90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 vertical="distributed"/>
    </xf>
    <xf numFmtId="0" fontId="10" fillId="0" borderId="1" xfId="0" applyFont="1" applyBorder="1" applyAlignment="1">
      <alignment horizontal="center" vertical="distributed"/>
    </xf>
    <xf numFmtId="167" fontId="5" fillId="0" borderId="24" xfId="0" applyNumberFormat="1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167" fontId="5" fillId="0" borderId="3" xfId="0" applyNumberFormat="1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3" borderId="2" xfId="0" applyFont="1" applyFill="1" applyBorder="1" applyAlignment="1">
      <alignment horizontal="center" shrinkToFit="1"/>
    </xf>
    <xf numFmtId="0" fontId="8" fillId="3" borderId="1" xfId="0" applyFont="1" applyFill="1" applyBorder="1" applyAlignment="1">
      <alignment horizontal="center" shrinkToFit="1"/>
    </xf>
    <xf numFmtId="172" fontId="5" fillId="0" borderId="10" xfId="0" applyNumberFormat="1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167" fontId="5" fillId="0" borderId="4" xfId="0" applyNumberFormat="1" applyFont="1" applyBorder="1" applyAlignment="1">
      <alignment horizontal="center"/>
    </xf>
    <xf numFmtId="167" fontId="5" fillId="0" borderId="5" xfId="0" applyNumberFormat="1" applyFont="1" applyBorder="1" applyAlignment="1">
      <alignment horizontal="center"/>
    </xf>
    <xf numFmtId="167" fontId="5" fillId="0" borderId="0" xfId="0" applyNumberFormat="1" applyFont="1" applyAlignment="1">
      <alignment horizontal="center"/>
    </xf>
    <xf numFmtId="178" fontId="5" fillId="0" borderId="2" xfId="0" applyNumberFormat="1" applyFont="1" applyBorder="1" applyAlignment="1">
      <alignment horizontal="center"/>
    </xf>
    <xf numFmtId="178" fontId="5" fillId="0" borderId="1" xfId="0" applyNumberFormat="1" applyFont="1" applyBorder="1" applyAlignment="1">
      <alignment horizontal="center"/>
    </xf>
    <xf numFmtId="183" fontId="5" fillId="0" borderId="2" xfId="0" applyNumberFormat="1" applyFont="1" applyBorder="1" applyAlignment="1">
      <alignment horizontal="center"/>
    </xf>
    <xf numFmtId="183" fontId="5" fillId="0" borderId="1" xfId="0" applyNumberFormat="1" applyFont="1" applyBorder="1" applyAlignment="1">
      <alignment horizontal="center"/>
    </xf>
    <xf numFmtId="181" fontId="5" fillId="0" borderId="2" xfId="0" applyNumberFormat="1" applyFont="1" applyBorder="1" applyAlignment="1">
      <alignment horizontal="center"/>
    </xf>
    <xf numFmtId="181" fontId="5" fillId="0" borderId="1" xfId="0" applyNumberFormat="1" applyFont="1" applyBorder="1" applyAlignment="1">
      <alignment horizontal="center"/>
    </xf>
    <xf numFmtId="180" fontId="5" fillId="0" borderId="2" xfId="0" applyNumberFormat="1" applyFont="1" applyBorder="1" applyAlignment="1">
      <alignment horizontal="center"/>
    </xf>
    <xf numFmtId="180" fontId="5" fillId="0" borderId="1" xfId="0" applyNumberFormat="1" applyFont="1" applyBorder="1" applyAlignment="1">
      <alignment horizontal="center"/>
    </xf>
    <xf numFmtId="0" fontId="5" fillId="0" borderId="10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0" fillId="0" borderId="10" xfId="0" applyBorder="1"/>
    <xf numFmtId="0" fontId="17" fillId="0" borderId="10" xfId="0" applyFont="1" applyBorder="1" applyAlignment="1">
      <alignment horizontal="center" vertical="center"/>
    </xf>
    <xf numFmtId="170" fontId="13" fillId="3" borderId="10" xfId="0" applyNumberFormat="1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7" fillId="0" borderId="8" xfId="0" applyFont="1" applyFill="1" applyBorder="1" applyAlignment="1">
      <alignment horizontal="center" vertical="center"/>
    </xf>
    <xf numFmtId="0" fontId="18" fillId="0" borderId="0" xfId="0" applyFont="1"/>
    <xf numFmtId="170" fontId="0" fillId="0" borderId="0" xfId="0" applyNumberFormat="1"/>
    <xf numFmtId="0" fontId="17" fillId="0" borderId="12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/>
    </xf>
    <xf numFmtId="0" fontId="17" fillId="0" borderId="10" xfId="0" applyFont="1" applyFill="1" applyBorder="1" applyAlignment="1">
      <alignment horizontal="center" vertical="center"/>
    </xf>
    <xf numFmtId="0" fontId="0" fillId="0" borderId="1" xfId="0" applyBorder="1"/>
    <xf numFmtId="167" fontId="0" fillId="0" borderId="10" xfId="0" applyNumberFormat="1" applyBorder="1"/>
    <xf numFmtId="0" fontId="18" fillId="0" borderId="2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" xfId="0" applyFont="1" applyBorder="1" applyAlignment="1">
      <alignment horizontal="center"/>
    </xf>
  </cellXfs>
  <cellStyles count="3">
    <cellStyle name="Normal" xfId="0" builtinId="0"/>
    <cellStyle name="Normal 2" xfId="2" xr:uid="{AFC5D454-D5A7-4CBE-B43E-19E19BFCF8BA}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chartsheet" Target="chartsheets/sheet7.xml"/><Relationship Id="rId18" Type="http://schemas.openxmlformats.org/officeDocument/2006/relationships/worksheet" Target="worksheets/sheet7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chartsheet" Target="chartsheets/sheet1.xml"/><Relationship Id="rId12" Type="http://schemas.openxmlformats.org/officeDocument/2006/relationships/chartsheet" Target="chartsheets/sheet6.xml"/><Relationship Id="rId17" Type="http://schemas.openxmlformats.org/officeDocument/2006/relationships/chartsheet" Target="chartsheets/sheet1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0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5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9.xml"/><Relationship Id="rId23" Type="http://schemas.microsoft.com/office/2006/relationships/vbaProject" Target="vbaProject.bin"/><Relationship Id="rId10" Type="http://schemas.openxmlformats.org/officeDocument/2006/relationships/chartsheet" Target="chartsheets/sheet4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chartsheet" Target="chartsheets/sheet8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 altLang="ja-JP" sz="1400"/>
              <a:t>Comparison of Volumetric efficiency  wit measured  data and calculation</a:t>
            </a:r>
            <a:r>
              <a:rPr lang="ja-JP" altLang="en-US"/>
              <a:t>
</a:t>
            </a:r>
          </a:p>
        </c:rich>
      </c:tx>
      <c:layout>
        <c:manualLayout>
          <c:xMode val="edge"/>
          <c:yMode val="edge"/>
          <c:x val="0.16199397575419003"/>
          <c:y val="4.94280999768909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291666666666666E-2"/>
          <c:y val="0.14309764309764308"/>
          <c:w val="0.76701388888888888"/>
          <c:h val="0.74747474747474751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 1320'!$D$72</c:f>
              <c:strCache>
                <c:ptCount val="1"/>
                <c:pt idx="0">
                  <c:v>35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'DATA 1320'!$C$73:$C$87</c:f>
              <c:numCache>
                <c:formatCode>0.0000_ </c:formatCode>
                <c:ptCount val="15"/>
                <c:pt idx="0">
                  <c:v>12.873167167417922</c:v>
                </c:pt>
                <c:pt idx="1">
                  <c:v>16.732907325791537</c:v>
                </c:pt>
                <c:pt idx="2">
                  <c:v>21.369856264392258</c:v>
                </c:pt>
                <c:pt idx="3">
                  <c:v>8.0660465648976682</c:v>
                </c:pt>
                <c:pt idx="4">
                  <c:v>10.484475801538402</c:v>
                </c:pt>
                <c:pt idx="5">
                  <c:v>13.389887156132675</c:v>
                </c:pt>
                <c:pt idx="6">
                  <c:v>5.2691735349856383</c:v>
                </c:pt>
                <c:pt idx="7">
                  <c:v>6.8490210138483576</c:v>
                </c:pt>
                <c:pt idx="8">
                  <c:v>8.7469912889640646</c:v>
                </c:pt>
              </c:numCache>
            </c:numRef>
          </c:xVal>
          <c:yVal>
            <c:numRef>
              <c:f>'DATA 1320'!$D$73:$D$87</c:f>
              <c:numCache>
                <c:formatCode>0.0000_ </c:formatCode>
                <c:ptCount val="15"/>
                <c:pt idx="0">
                  <c:v>1.0956245219078622</c:v>
                </c:pt>
                <c:pt idx="3">
                  <c:v>0.95303014229325811</c:v>
                </c:pt>
                <c:pt idx="6">
                  <c:v>0.87619842763603994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8-435E-B8BB-1E51C253C900}"/>
            </c:ext>
          </c:extLst>
        </c:ser>
        <c:ser>
          <c:idx val="1"/>
          <c:order val="1"/>
          <c:tx>
            <c:strRef>
              <c:f>'DATA 1320'!$E$72</c:f>
              <c:strCache>
                <c:ptCount val="1"/>
                <c:pt idx="0">
                  <c:v>45</c:v>
                </c:pt>
              </c:strCache>
            </c:strRef>
          </c:tx>
          <c:spPr>
            <a:ln w="28575">
              <a:noFill/>
            </a:ln>
          </c:spPr>
          <c:trendline>
            <c:spPr>
              <a:ln w="12700">
                <a:solidFill>
                  <a:srgbClr val="FF00FF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'DATA 1320'!$C$73:$C$87</c:f>
              <c:numCache>
                <c:formatCode>0.0000_ </c:formatCode>
                <c:ptCount val="15"/>
                <c:pt idx="0">
                  <c:v>12.873167167417922</c:v>
                </c:pt>
                <c:pt idx="1">
                  <c:v>16.732907325791537</c:v>
                </c:pt>
                <c:pt idx="2">
                  <c:v>21.369856264392258</c:v>
                </c:pt>
                <c:pt idx="3">
                  <c:v>8.0660465648976682</c:v>
                </c:pt>
                <c:pt idx="4">
                  <c:v>10.484475801538402</c:v>
                </c:pt>
                <c:pt idx="5">
                  <c:v>13.389887156132675</c:v>
                </c:pt>
                <c:pt idx="6">
                  <c:v>5.2691735349856383</c:v>
                </c:pt>
                <c:pt idx="7">
                  <c:v>6.8490210138483576</c:v>
                </c:pt>
                <c:pt idx="8">
                  <c:v>8.7469912889640646</c:v>
                </c:pt>
              </c:numCache>
            </c:numRef>
          </c:xVal>
          <c:yVal>
            <c:numRef>
              <c:f>'DATA 1320'!$E$73:$E$87</c:f>
              <c:numCache>
                <c:formatCode>0.0000_ </c:formatCode>
                <c:ptCount val="15"/>
                <c:pt idx="1">
                  <c:v>0.91886269724632264</c:v>
                </c:pt>
                <c:pt idx="4">
                  <c:v>0.84245899355537046</c:v>
                </c:pt>
                <c:pt idx="7">
                  <c:v>0.80414322124020599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58-435E-B8BB-1E51C253C900}"/>
            </c:ext>
          </c:extLst>
        </c:ser>
        <c:ser>
          <c:idx val="2"/>
          <c:order val="2"/>
          <c:tx>
            <c:strRef>
              <c:f>'DATA 1320'!$F$72</c:f>
              <c:strCache>
                <c:ptCount val="1"/>
                <c:pt idx="0">
                  <c:v>35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'DATA 1320'!$C$73:$C$87</c:f>
              <c:numCache>
                <c:formatCode>0.0000_ </c:formatCode>
                <c:ptCount val="15"/>
                <c:pt idx="0">
                  <c:v>12.873167167417922</c:v>
                </c:pt>
                <c:pt idx="1">
                  <c:v>16.732907325791537</c:v>
                </c:pt>
                <c:pt idx="2">
                  <c:v>21.369856264392258</c:v>
                </c:pt>
                <c:pt idx="3">
                  <c:v>8.0660465648976682</c:v>
                </c:pt>
                <c:pt idx="4">
                  <c:v>10.484475801538402</c:v>
                </c:pt>
                <c:pt idx="5">
                  <c:v>13.389887156132675</c:v>
                </c:pt>
                <c:pt idx="6">
                  <c:v>5.2691735349856383</c:v>
                </c:pt>
                <c:pt idx="7">
                  <c:v>6.8490210138483576</c:v>
                </c:pt>
                <c:pt idx="8">
                  <c:v>8.7469912889640646</c:v>
                </c:pt>
              </c:numCache>
            </c:numRef>
          </c:xVal>
          <c:yVal>
            <c:numRef>
              <c:f>'DATA 1320'!$F$73:$F$87</c:f>
              <c:numCache>
                <c:formatCode>0.0000_ </c:formatCode>
                <c:ptCount val="15"/>
                <c:pt idx="2">
                  <c:v>0.74203898626997011</c:v>
                </c:pt>
                <c:pt idx="5">
                  <c:v>0.73182012025267396</c:v>
                </c:pt>
                <c:pt idx="8">
                  <c:v>0.73202501175514101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58-435E-B8BB-1E51C253C900}"/>
            </c:ext>
          </c:extLst>
        </c:ser>
        <c:ser>
          <c:idx val="3"/>
          <c:order val="3"/>
          <c:tx>
            <c:strRef>
              <c:f>'DATA 1320'!$G$72</c:f>
              <c:strCache>
                <c:ptCount val="1"/>
                <c:pt idx="0">
                  <c:v>45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00FF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'DATA 1320'!$C$73:$C$87</c:f>
              <c:numCache>
                <c:formatCode>0.0000_ </c:formatCode>
                <c:ptCount val="15"/>
                <c:pt idx="0">
                  <c:v>12.873167167417922</c:v>
                </c:pt>
                <c:pt idx="1">
                  <c:v>16.732907325791537</c:v>
                </c:pt>
                <c:pt idx="2">
                  <c:v>21.369856264392258</c:v>
                </c:pt>
                <c:pt idx="3">
                  <c:v>8.0660465648976682</c:v>
                </c:pt>
                <c:pt idx="4">
                  <c:v>10.484475801538402</c:v>
                </c:pt>
                <c:pt idx="5">
                  <c:v>13.389887156132675</c:v>
                </c:pt>
                <c:pt idx="6">
                  <c:v>5.2691735349856383</c:v>
                </c:pt>
                <c:pt idx="7">
                  <c:v>6.8490210138483576</c:v>
                </c:pt>
                <c:pt idx="8">
                  <c:v>8.7469912889640646</c:v>
                </c:pt>
              </c:numCache>
            </c:numRef>
          </c:xVal>
          <c:yVal>
            <c:numRef>
              <c:f>'DATA 1320'!$G$73:$G$87</c:f>
              <c:numCache>
                <c:formatCode>0.0000_ </c:formatCode>
                <c:ptCount val="15"/>
                <c:pt idx="0">
                  <c:v>1.0097341701536786</c:v>
                </c:pt>
                <c:pt idx="3">
                  <c:v>0.96470981083277008</c:v>
                </c:pt>
                <c:pt idx="6">
                  <c:v>0.93851379315688788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58-435E-B8BB-1E51C253C900}"/>
            </c:ext>
          </c:extLst>
        </c:ser>
        <c:ser>
          <c:idx val="4"/>
          <c:order val="4"/>
          <c:tx>
            <c:strRef>
              <c:f>'DATA 1320'!$H$72</c:f>
              <c:strCache>
                <c:ptCount val="1"/>
                <c:pt idx="0">
                  <c:v>45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'DATA 1320'!$C$73:$C$87</c:f>
              <c:numCache>
                <c:formatCode>0.0000_ </c:formatCode>
                <c:ptCount val="15"/>
                <c:pt idx="0">
                  <c:v>12.873167167417922</c:v>
                </c:pt>
                <c:pt idx="1">
                  <c:v>16.732907325791537</c:v>
                </c:pt>
                <c:pt idx="2">
                  <c:v>21.369856264392258</c:v>
                </c:pt>
                <c:pt idx="3">
                  <c:v>8.0660465648976682</c:v>
                </c:pt>
                <c:pt idx="4">
                  <c:v>10.484475801538402</c:v>
                </c:pt>
                <c:pt idx="5">
                  <c:v>13.389887156132675</c:v>
                </c:pt>
                <c:pt idx="6">
                  <c:v>5.2691735349856383</c:v>
                </c:pt>
                <c:pt idx="7">
                  <c:v>6.8490210138483576</c:v>
                </c:pt>
                <c:pt idx="8">
                  <c:v>8.7469912889640646</c:v>
                </c:pt>
              </c:numCache>
            </c:numRef>
          </c:xVal>
          <c:yVal>
            <c:numRef>
              <c:f>'DATA 1320'!$H$73:$H$87</c:f>
              <c:numCache>
                <c:formatCode>0.0000_ </c:formatCode>
                <c:ptCount val="15"/>
                <c:pt idx="1">
                  <c:v>0.9127866497171222</c:v>
                </c:pt>
                <c:pt idx="4">
                  <c:v>0.85426271212492422</c:v>
                </c:pt>
                <c:pt idx="7">
                  <c:v>0.8202123863290498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58-435E-B8BB-1E51C253C900}"/>
            </c:ext>
          </c:extLst>
        </c:ser>
        <c:ser>
          <c:idx val="5"/>
          <c:order val="5"/>
          <c:tx>
            <c:strRef>
              <c:f>'DATA 1320'!$I$72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'DATA 1320'!$C$73:$C$87</c:f>
              <c:numCache>
                <c:formatCode>0.0000_ </c:formatCode>
                <c:ptCount val="15"/>
                <c:pt idx="0">
                  <c:v>12.873167167417922</c:v>
                </c:pt>
                <c:pt idx="1">
                  <c:v>16.732907325791537</c:v>
                </c:pt>
                <c:pt idx="2">
                  <c:v>21.369856264392258</c:v>
                </c:pt>
                <c:pt idx="3">
                  <c:v>8.0660465648976682</c:v>
                </c:pt>
                <c:pt idx="4">
                  <c:v>10.484475801538402</c:v>
                </c:pt>
                <c:pt idx="5">
                  <c:v>13.389887156132675</c:v>
                </c:pt>
                <c:pt idx="6">
                  <c:v>5.2691735349856383</c:v>
                </c:pt>
                <c:pt idx="7">
                  <c:v>6.8490210138483576</c:v>
                </c:pt>
                <c:pt idx="8">
                  <c:v>8.7469912889640646</c:v>
                </c:pt>
              </c:numCache>
            </c:numRef>
          </c:xVal>
          <c:yVal>
            <c:numRef>
              <c:f>'DATA 1320'!$I$73:$I$87</c:f>
              <c:numCache>
                <c:formatCode>0.0000_ </c:formatCode>
                <c:ptCount val="15"/>
                <c:pt idx="2">
                  <c:v>0.79631748766407751</c:v>
                </c:pt>
                <c:pt idx="5">
                  <c:v>0.72157565649144995</c:v>
                </c:pt>
                <c:pt idx="8">
                  <c:v>0.67808945568688417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A58-435E-B8BB-1E51C253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15128"/>
        <c:axId val="298411992"/>
      </c:scatterChart>
      <c:valAx>
        <c:axId val="298415128"/>
        <c:scaling>
          <c:orientation val="minMax"/>
          <c:min val="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Compression rate</a:t>
                </a: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　P</a:t>
                </a: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c</a:t>
                </a: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/P</a:t>
                </a: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e</a:t>
                </a:r>
                <a:endPara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endParaRPr>
              </a:p>
            </c:rich>
          </c:tx>
          <c:layout>
            <c:manualLayout>
              <c:xMode val="edge"/>
              <c:yMode val="edge"/>
              <c:x val="0.40104166666666669"/>
              <c:y val="0.9444444444444444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1992"/>
        <c:crosses val="autoZero"/>
        <c:crossBetween val="midCat"/>
      </c:valAx>
      <c:valAx>
        <c:axId val="298411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Volumetric efficiency</a:t>
                </a: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　ηv</a:t>
                </a:r>
              </a:p>
            </c:rich>
          </c:tx>
          <c:layout>
            <c:manualLayout>
              <c:xMode val="edge"/>
              <c:yMode val="edge"/>
              <c:x val="1.1458333333333333E-2"/>
              <c:y val="0.43602693602693604"/>
            </c:manualLayout>
          </c:layout>
          <c:overlay val="0"/>
          <c:spPr>
            <a:noFill/>
            <a:ln w="25400">
              <a:noFill/>
            </a:ln>
          </c:spPr>
        </c:title>
        <c:numFmt formatCode="0.0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51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89201388888888888"/>
          <c:y val="0.15399257716950329"/>
          <c:w val="6.25E-2"/>
          <c:h val="0.4238664216228617"/>
        </c:manualLayout>
      </c:layout>
      <c:overlay val="0"/>
      <c:spPr>
        <a:solidFill>
          <a:srgbClr val="FFFFFF"/>
        </a:solidFill>
        <a:ln w="25400">
          <a:solidFill>
            <a:srgbClr val="FF00FF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'DATA 1320'!$A$11:$G$19</c:f>
              <c:multiLvlStrCache>
                <c:ptCount val="6"/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Input  （Ｗ）</c:v>
                  </c:pt>
                  <c:pt idx="3">
                    <c:v>Evap. Temp.</c:v>
                  </c:pt>
                </c:lvl>
                <c:lvl>
                  <c:pt idx="2">
                    <c:v>55</c:v>
                  </c:pt>
                  <c:pt idx="3">
                    <c:v>36.1 </c:v>
                  </c:pt>
                  <c:pt idx="4">
                    <c:v>57.0 </c:v>
                  </c:pt>
                  <c:pt idx="5">
                    <c:v>87.5 </c:v>
                  </c:pt>
                </c:lvl>
                <c:lvl>
                  <c:pt idx="2">
                    <c:v>45</c:v>
                  </c:pt>
                  <c:pt idx="3">
                    <c:v>44.7 </c:v>
                  </c:pt>
                  <c:pt idx="4">
                    <c:v>65.6 </c:v>
                  </c:pt>
                  <c:pt idx="5">
                    <c:v>96.1 </c:v>
                  </c:pt>
                </c:lvl>
                <c:lvl>
                  <c:pt idx="1">
                    <c:v> Cond. Temp.（℃） </c:v>
                  </c:pt>
                  <c:pt idx="2">
                    <c:v>35</c:v>
                  </c:pt>
                  <c:pt idx="3">
                    <c:v>53.3 </c:v>
                  </c:pt>
                  <c:pt idx="4">
                    <c:v>74.2 </c:v>
                  </c:pt>
                  <c:pt idx="5">
                    <c:v>104.7 </c:v>
                  </c:pt>
                </c:lvl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Cooling Capacity Ｑ(kcal/hr)</c:v>
                  </c:pt>
                  <c:pt idx="3">
                    <c:v>Evap. Temp.</c:v>
                  </c:pt>
                </c:lvl>
              </c:multiLvlStrCache>
            </c:multiLvlStrRef>
          </c:cat>
          <c:val>
            <c:numRef>
              <c:f>'DATA 1320'!$H$11:$H$19</c:f>
              <c:numCache>
                <c:formatCode>General</c:formatCode>
                <c:ptCount val="9"/>
                <c:pt idx="1">
                  <c:v>0</c:v>
                </c:pt>
                <c:pt idx="2">
                  <c:v>35</c:v>
                </c:pt>
                <c:pt idx="3" formatCode="0.0_);[Red]\(0.0\)">
                  <c:v>22.974852287715816</c:v>
                </c:pt>
                <c:pt idx="4" formatCode="0.0_);[Red]\(0.0\)">
                  <c:v>29.358355457071273</c:v>
                </c:pt>
                <c:pt idx="5" formatCode="0.0_);[Red]\(0.0\)">
                  <c:v>34.6913364693402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9-437A-9342-65547BD92F5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'DATA 1320'!$A$11:$G$19</c:f>
              <c:multiLvlStrCache>
                <c:ptCount val="6"/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Input  （Ｗ）</c:v>
                  </c:pt>
                  <c:pt idx="3">
                    <c:v>Evap. Temp.</c:v>
                  </c:pt>
                </c:lvl>
                <c:lvl>
                  <c:pt idx="2">
                    <c:v>55</c:v>
                  </c:pt>
                  <c:pt idx="3">
                    <c:v>36.1 </c:v>
                  </c:pt>
                  <c:pt idx="4">
                    <c:v>57.0 </c:v>
                  </c:pt>
                  <c:pt idx="5">
                    <c:v>87.5 </c:v>
                  </c:pt>
                </c:lvl>
                <c:lvl>
                  <c:pt idx="2">
                    <c:v>45</c:v>
                  </c:pt>
                  <c:pt idx="3">
                    <c:v>44.7 </c:v>
                  </c:pt>
                  <c:pt idx="4">
                    <c:v>65.6 </c:v>
                  </c:pt>
                  <c:pt idx="5">
                    <c:v>96.1 </c:v>
                  </c:pt>
                </c:lvl>
                <c:lvl>
                  <c:pt idx="1">
                    <c:v> Cond. Temp.（℃） </c:v>
                  </c:pt>
                  <c:pt idx="2">
                    <c:v>35</c:v>
                  </c:pt>
                  <c:pt idx="3">
                    <c:v>53.3 </c:v>
                  </c:pt>
                  <c:pt idx="4">
                    <c:v>74.2 </c:v>
                  </c:pt>
                  <c:pt idx="5">
                    <c:v>104.7 </c:v>
                  </c:pt>
                </c:lvl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Cooling Capacity Ｑ(kcal/hr)</c:v>
                  </c:pt>
                  <c:pt idx="3">
                    <c:v>Evap. Temp.</c:v>
                  </c:pt>
                </c:lvl>
              </c:multiLvlStrCache>
            </c:multiLvlStrRef>
          </c:cat>
          <c:val>
            <c:numRef>
              <c:f>'DATA 1320'!$I$11:$I$19</c:f>
              <c:numCache>
                <c:formatCode>General</c:formatCode>
                <c:ptCount val="9"/>
                <c:pt idx="2">
                  <c:v>45</c:v>
                </c:pt>
                <c:pt idx="3" formatCode="0.0_);[Red]\(0.0\)">
                  <c:v>25.269840951940697</c:v>
                </c:pt>
                <c:pt idx="4" formatCode="0.0_);[Red]\(0.0\)">
                  <c:v>33.203208696057622</c:v>
                </c:pt>
                <c:pt idx="5" formatCode="0.0_);[Red]\(0.0\)">
                  <c:v>40.614662854169886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49-437A-9342-65547BD92F54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'DATA 1320'!$A$11:$G$19</c:f>
              <c:multiLvlStrCache>
                <c:ptCount val="6"/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Input  （Ｗ）</c:v>
                  </c:pt>
                  <c:pt idx="3">
                    <c:v>Evap. Temp.</c:v>
                  </c:pt>
                </c:lvl>
                <c:lvl>
                  <c:pt idx="2">
                    <c:v>55</c:v>
                  </c:pt>
                  <c:pt idx="3">
                    <c:v>36.1 </c:v>
                  </c:pt>
                  <c:pt idx="4">
                    <c:v>57.0 </c:v>
                  </c:pt>
                  <c:pt idx="5">
                    <c:v>87.5 </c:v>
                  </c:pt>
                </c:lvl>
                <c:lvl>
                  <c:pt idx="2">
                    <c:v>45</c:v>
                  </c:pt>
                  <c:pt idx="3">
                    <c:v>44.7 </c:v>
                  </c:pt>
                  <c:pt idx="4">
                    <c:v>65.6 </c:v>
                  </c:pt>
                  <c:pt idx="5">
                    <c:v>96.1 </c:v>
                  </c:pt>
                </c:lvl>
                <c:lvl>
                  <c:pt idx="1">
                    <c:v> Cond. Temp.（℃） </c:v>
                  </c:pt>
                  <c:pt idx="2">
                    <c:v>35</c:v>
                  </c:pt>
                  <c:pt idx="3">
                    <c:v>53.3 </c:v>
                  </c:pt>
                  <c:pt idx="4">
                    <c:v>74.2 </c:v>
                  </c:pt>
                  <c:pt idx="5">
                    <c:v>104.7 </c:v>
                  </c:pt>
                </c:lvl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Cooling Capacity Ｑ(kcal/hr)</c:v>
                  </c:pt>
                  <c:pt idx="3">
                    <c:v>Evap. Temp.</c:v>
                  </c:pt>
                </c:lvl>
              </c:multiLvlStrCache>
            </c:multiLvlStrRef>
          </c:cat>
          <c:val>
            <c:numRef>
              <c:f>'DATA 1320'!$J$11:$J$19</c:f>
              <c:numCache>
                <c:formatCode>General</c:formatCode>
                <c:ptCount val="9"/>
                <c:pt idx="2" formatCode="###">
                  <c:v>55</c:v>
                </c:pt>
                <c:pt idx="3" formatCode="0.0_);[Red]\(0.0\)">
                  <c:v>27.353683661748953</c:v>
                </c:pt>
                <c:pt idx="4" formatCode="0.0_);[Red]\(0.0\)">
                  <c:v>36.694742270957995</c:v>
                </c:pt>
                <c:pt idx="5" formatCode="0.0_);[Red]\(0.0\)">
                  <c:v>46.042495865244213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49-437A-9342-65547BD92F54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'DATA 1320'!$A$11:$G$19</c:f>
              <c:multiLvlStrCache>
                <c:ptCount val="6"/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Input  （Ｗ）</c:v>
                  </c:pt>
                  <c:pt idx="3">
                    <c:v>Evap. Temp.</c:v>
                  </c:pt>
                </c:lvl>
                <c:lvl>
                  <c:pt idx="2">
                    <c:v>55</c:v>
                  </c:pt>
                  <c:pt idx="3">
                    <c:v>36.1 </c:v>
                  </c:pt>
                  <c:pt idx="4">
                    <c:v>57.0 </c:v>
                  </c:pt>
                  <c:pt idx="5">
                    <c:v>87.5 </c:v>
                  </c:pt>
                </c:lvl>
                <c:lvl>
                  <c:pt idx="2">
                    <c:v>45</c:v>
                  </c:pt>
                  <c:pt idx="3">
                    <c:v>44.7 </c:v>
                  </c:pt>
                  <c:pt idx="4">
                    <c:v>65.6 </c:v>
                  </c:pt>
                  <c:pt idx="5">
                    <c:v>96.1 </c:v>
                  </c:pt>
                </c:lvl>
                <c:lvl>
                  <c:pt idx="1">
                    <c:v> Cond. Temp.（℃） </c:v>
                  </c:pt>
                  <c:pt idx="2">
                    <c:v>35</c:v>
                  </c:pt>
                  <c:pt idx="3">
                    <c:v>53.3 </c:v>
                  </c:pt>
                  <c:pt idx="4">
                    <c:v>74.2 </c:v>
                  </c:pt>
                  <c:pt idx="5">
                    <c:v>104.7 </c:v>
                  </c:pt>
                </c:lvl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Cooling Capacity Ｑ(kcal/hr)</c:v>
                  </c:pt>
                  <c:pt idx="3">
                    <c:v>Evap. Temp.</c:v>
                  </c:pt>
                </c:lvl>
              </c:multiLvlStrCache>
            </c:multiLvlStrRef>
          </c:cat>
          <c:val>
            <c:numRef>
              <c:f>'DATA 1320'!$K$11:$K$19</c:f>
              <c:numCache>
                <c:formatCode>General</c:formatCode>
                <c:ptCount val="9"/>
                <c:pt idx="0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49-437A-9342-65547BD92F5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'DATA 1320'!$A$11:$G$19</c:f>
              <c:multiLvlStrCache>
                <c:ptCount val="6"/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Input  （Ｗ）</c:v>
                  </c:pt>
                  <c:pt idx="3">
                    <c:v>Evap. Temp.</c:v>
                  </c:pt>
                </c:lvl>
                <c:lvl>
                  <c:pt idx="2">
                    <c:v>55</c:v>
                  </c:pt>
                  <c:pt idx="3">
                    <c:v>36.1 </c:v>
                  </c:pt>
                  <c:pt idx="4">
                    <c:v>57.0 </c:v>
                  </c:pt>
                  <c:pt idx="5">
                    <c:v>87.5 </c:v>
                  </c:pt>
                </c:lvl>
                <c:lvl>
                  <c:pt idx="2">
                    <c:v>45</c:v>
                  </c:pt>
                  <c:pt idx="3">
                    <c:v>44.7 </c:v>
                  </c:pt>
                  <c:pt idx="4">
                    <c:v>65.6 </c:v>
                  </c:pt>
                  <c:pt idx="5">
                    <c:v>96.1 </c:v>
                  </c:pt>
                </c:lvl>
                <c:lvl>
                  <c:pt idx="1">
                    <c:v> Cond. Temp.（℃） </c:v>
                  </c:pt>
                  <c:pt idx="2">
                    <c:v>35</c:v>
                  </c:pt>
                  <c:pt idx="3">
                    <c:v>53.3 </c:v>
                  </c:pt>
                  <c:pt idx="4">
                    <c:v>74.2 </c:v>
                  </c:pt>
                  <c:pt idx="5">
                    <c:v>104.7 </c:v>
                  </c:pt>
                </c:lvl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Cooling Capacity Ｑ(kcal/hr)</c:v>
                  </c:pt>
                  <c:pt idx="3">
                    <c:v>Evap. Temp.</c:v>
                  </c:pt>
                </c:lvl>
              </c:multiLvlStrCache>
            </c:multiLvlStrRef>
          </c:cat>
          <c:val>
            <c:numRef>
              <c:f>'DATA 1320'!$L$11:$L$19</c:f>
              <c:numCache>
                <c:formatCode>General</c:formatCode>
                <c:ptCount val="9"/>
                <c:pt idx="3" formatCode="###.0">
                  <c:v>-35</c:v>
                </c:pt>
                <c:pt idx="4" formatCode="###.0">
                  <c:v>-25</c:v>
                </c:pt>
                <c:pt idx="5" formatCode="###.0">
                  <c:v>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49-437A-9342-65547BD92F54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'DATA 1320'!$A$11:$G$19</c:f>
              <c:multiLvlStrCache>
                <c:ptCount val="6"/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Input  （Ｗ）</c:v>
                  </c:pt>
                  <c:pt idx="3">
                    <c:v>Evap. Temp.</c:v>
                  </c:pt>
                </c:lvl>
                <c:lvl>
                  <c:pt idx="2">
                    <c:v>55</c:v>
                  </c:pt>
                  <c:pt idx="3">
                    <c:v>36.1 </c:v>
                  </c:pt>
                  <c:pt idx="4">
                    <c:v>57.0 </c:v>
                  </c:pt>
                  <c:pt idx="5">
                    <c:v>87.5 </c:v>
                  </c:pt>
                </c:lvl>
                <c:lvl>
                  <c:pt idx="2">
                    <c:v>45</c:v>
                  </c:pt>
                  <c:pt idx="3">
                    <c:v>44.7 </c:v>
                  </c:pt>
                  <c:pt idx="4">
                    <c:v>65.6 </c:v>
                  </c:pt>
                  <c:pt idx="5">
                    <c:v>96.1 </c:v>
                  </c:pt>
                </c:lvl>
                <c:lvl>
                  <c:pt idx="1">
                    <c:v> Cond. Temp.（℃） </c:v>
                  </c:pt>
                  <c:pt idx="2">
                    <c:v>35</c:v>
                  </c:pt>
                  <c:pt idx="3">
                    <c:v>53.3 </c:v>
                  </c:pt>
                  <c:pt idx="4">
                    <c:v>74.2 </c:v>
                  </c:pt>
                  <c:pt idx="5">
                    <c:v>104.7 </c:v>
                  </c:pt>
                </c:lvl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Cooling Capacity Ｑ(kcal/hr)</c:v>
                  </c:pt>
                  <c:pt idx="3">
                    <c:v>Evap. Temp.</c:v>
                  </c:pt>
                </c:lvl>
              </c:multiLvlStrCache>
            </c:multiLvlStrRef>
          </c:cat>
          <c:val>
            <c:numRef>
              <c:f>'DATA 1320'!$M$11:$M$19</c:f>
              <c:numCache>
                <c:formatCode>General</c:formatCode>
                <c:ptCount val="9"/>
                <c:pt idx="1">
                  <c:v>0</c:v>
                </c:pt>
                <c:pt idx="2">
                  <c:v>35</c:v>
                </c:pt>
                <c:pt idx="3" formatCode="0.000">
                  <c:v>1.0956245219078622</c:v>
                </c:pt>
                <c:pt idx="4" formatCode="0.000">
                  <c:v>0.95303014229325811</c:v>
                </c:pt>
                <c:pt idx="5" formatCode="0.000">
                  <c:v>0.87619842763603994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49-437A-9342-65547BD92F5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'DATA 1320'!$A$11:$G$19</c:f>
              <c:multiLvlStrCache>
                <c:ptCount val="6"/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Input  （Ｗ）</c:v>
                  </c:pt>
                  <c:pt idx="3">
                    <c:v>Evap. Temp.</c:v>
                  </c:pt>
                </c:lvl>
                <c:lvl>
                  <c:pt idx="2">
                    <c:v>55</c:v>
                  </c:pt>
                  <c:pt idx="3">
                    <c:v>36.1 </c:v>
                  </c:pt>
                  <c:pt idx="4">
                    <c:v>57.0 </c:v>
                  </c:pt>
                  <c:pt idx="5">
                    <c:v>87.5 </c:v>
                  </c:pt>
                </c:lvl>
                <c:lvl>
                  <c:pt idx="2">
                    <c:v>45</c:v>
                  </c:pt>
                  <c:pt idx="3">
                    <c:v>44.7 </c:v>
                  </c:pt>
                  <c:pt idx="4">
                    <c:v>65.6 </c:v>
                  </c:pt>
                  <c:pt idx="5">
                    <c:v>96.1 </c:v>
                  </c:pt>
                </c:lvl>
                <c:lvl>
                  <c:pt idx="1">
                    <c:v> Cond. Temp.（℃） </c:v>
                  </c:pt>
                  <c:pt idx="2">
                    <c:v>35</c:v>
                  </c:pt>
                  <c:pt idx="3">
                    <c:v>53.3 </c:v>
                  </c:pt>
                  <c:pt idx="4">
                    <c:v>74.2 </c:v>
                  </c:pt>
                  <c:pt idx="5">
                    <c:v>104.7 </c:v>
                  </c:pt>
                </c:lvl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Cooling Capacity Ｑ(kcal/hr)</c:v>
                  </c:pt>
                  <c:pt idx="3">
                    <c:v>Evap. Temp.</c:v>
                  </c:pt>
                </c:lvl>
              </c:multiLvlStrCache>
            </c:multiLvlStrRef>
          </c:cat>
          <c:val>
            <c:numRef>
              <c:f>'DATA 1320'!$N$11:$N$19</c:f>
              <c:numCache>
                <c:formatCode>General</c:formatCode>
                <c:ptCount val="9"/>
                <c:pt idx="2">
                  <c:v>45</c:v>
                </c:pt>
                <c:pt idx="3" formatCode="0.000">
                  <c:v>0.91886269724632264</c:v>
                </c:pt>
                <c:pt idx="4" formatCode="0.000">
                  <c:v>0.84245899355537046</c:v>
                </c:pt>
                <c:pt idx="5" formatCode="0.000">
                  <c:v>0.80414322124020599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49-437A-9342-65547BD92F5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'DATA 1320'!$A$11:$G$19</c:f>
              <c:multiLvlStrCache>
                <c:ptCount val="6"/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Input  （Ｗ）</c:v>
                  </c:pt>
                  <c:pt idx="3">
                    <c:v>Evap. Temp.</c:v>
                  </c:pt>
                </c:lvl>
                <c:lvl>
                  <c:pt idx="2">
                    <c:v>55</c:v>
                  </c:pt>
                  <c:pt idx="3">
                    <c:v>36.1 </c:v>
                  </c:pt>
                  <c:pt idx="4">
                    <c:v>57.0 </c:v>
                  </c:pt>
                  <c:pt idx="5">
                    <c:v>87.5 </c:v>
                  </c:pt>
                </c:lvl>
                <c:lvl>
                  <c:pt idx="2">
                    <c:v>45</c:v>
                  </c:pt>
                  <c:pt idx="3">
                    <c:v>44.7 </c:v>
                  </c:pt>
                  <c:pt idx="4">
                    <c:v>65.6 </c:v>
                  </c:pt>
                  <c:pt idx="5">
                    <c:v>96.1 </c:v>
                  </c:pt>
                </c:lvl>
                <c:lvl>
                  <c:pt idx="1">
                    <c:v> Cond. Temp.（℃） </c:v>
                  </c:pt>
                  <c:pt idx="2">
                    <c:v>35</c:v>
                  </c:pt>
                  <c:pt idx="3">
                    <c:v>53.3 </c:v>
                  </c:pt>
                  <c:pt idx="4">
                    <c:v>74.2 </c:v>
                  </c:pt>
                  <c:pt idx="5">
                    <c:v>104.7 </c:v>
                  </c:pt>
                </c:lvl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Cooling Capacity Ｑ(kcal/hr)</c:v>
                  </c:pt>
                  <c:pt idx="3">
                    <c:v>Evap. Temp.</c:v>
                  </c:pt>
                </c:lvl>
              </c:multiLvlStrCache>
            </c:multiLvlStrRef>
          </c:cat>
          <c:val>
            <c:numRef>
              <c:f>'DATA 1320'!$O$11:$O$19</c:f>
              <c:numCache>
                <c:formatCode>General</c:formatCode>
                <c:ptCount val="9"/>
                <c:pt idx="2">
                  <c:v>55</c:v>
                </c:pt>
                <c:pt idx="3" formatCode="0.000">
                  <c:v>0.74203898626997011</c:v>
                </c:pt>
                <c:pt idx="4" formatCode="0.000">
                  <c:v>0.73182012025267396</c:v>
                </c:pt>
                <c:pt idx="5" formatCode="0.000">
                  <c:v>0.73202501175514101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049-437A-9342-65547BD92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8280144"/>
        <c:axId val="509980272"/>
      </c:barChart>
      <c:catAx>
        <c:axId val="77828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80272"/>
        <c:crosses val="autoZero"/>
        <c:auto val="1"/>
        <c:lblAlgn val="ctr"/>
        <c:lblOffset val="100"/>
        <c:noMultiLvlLbl val="0"/>
      </c:catAx>
      <c:valAx>
        <c:axId val="50998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28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'DATA 1320'!$A$11:$G$19</c:f>
              <c:multiLvlStrCache>
                <c:ptCount val="6"/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Input  （Ｗ）</c:v>
                  </c:pt>
                  <c:pt idx="3">
                    <c:v>Evap. Temp.</c:v>
                  </c:pt>
                </c:lvl>
                <c:lvl>
                  <c:pt idx="2">
                    <c:v>55</c:v>
                  </c:pt>
                  <c:pt idx="3">
                    <c:v>36.1 </c:v>
                  </c:pt>
                  <c:pt idx="4">
                    <c:v>57.0 </c:v>
                  </c:pt>
                  <c:pt idx="5">
                    <c:v>87.5 </c:v>
                  </c:pt>
                </c:lvl>
                <c:lvl>
                  <c:pt idx="2">
                    <c:v>45</c:v>
                  </c:pt>
                  <c:pt idx="3">
                    <c:v>44.7 </c:v>
                  </c:pt>
                  <c:pt idx="4">
                    <c:v>65.6 </c:v>
                  </c:pt>
                  <c:pt idx="5">
                    <c:v>96.1 </c:v>
                  </c:pt>
                </c:lvl>
                <c:lvl>
                  <c:pt idx="1">
                    <c:v> Cond. Temp.（℃） </c:v>
                  </c:pt>
                  <c:pt idx="2">
                    <c:v>35</c:v>
                  </c:pt>
                  <c:pt idx="3">
                    <c:v>53.3 </c:v>
                  </c:pt>
                  <c:pt idx="4">
                    <c:v>74.2 </c:v>
                  </c:pt>
                  <c:pt idx="5">
                    <c:v>104.7 </c:v>
                  </c:pt>
                </c:lvl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Cooling Capacity Ｑ(kcal/hr)</c:v>
                  </c:pt>
                  <c:pt idx="3">
                    <c:v>Evap. Temp.</c:v>
                  </c:pt>
                </c:lvl>
              </c:multiLvlStrCache>
            </c:multiLvlStrRef>
          </c:cat>
          <c:val>
            <c:numRef>
              <c:f>'DATA 1320'!$H$11:$H$19</c:f>
              <c:numCache>
                <c:formatCode>General</c:formatCode>
                <c:ptCount val="9"/>
                <c:pt idx="1">
                  <c:v>0</c:v>
                </c:pt>
                <c:pt idx="2">
                  <c:v>35</c:v>
                </c:pt>
                <c:pt idx="3" formatCode="0.0_);[Red]\(0.0\)">
                  <c:v>22.974852287715816</c:v>
                </c:pt>
                <c:pt idx="4" formatCode="0.0_);[Red]\(0.0\)">
                  <c:v>29.358355457071273</c:v>
                </c:pt>
                <c:pt idx="5" formatCode="0.0_);[Red]\(0.0\)">
                  <c:v>34.6913364693402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5E-4D50-93D0-CBA44C50709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'DATA 1320'!$A$11:$G$19</c:f>
              <c:multiLvlStrCache>
                <c:ptCount val="6"/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Input  （Ｗ）</c:v>
                  </c:pt>
                  <c:pt idx="3">
                    <c:v>Evap. Temp.</c:v>
                  </c:pt>
                </c:lvl>
                <c:lvl>
                  <c:pt idx="2">
                    <c:v>55</c:v>
                  </c:pt>
                  <c:pt idx="3">
                    <c:v>36.1 </c:v>
                  </c:pt>
                  <c:pt idx="4">
                    <c:v>57.0 </c:v>
                  </c:pt>
                  <c:pt idx="5">
                    <c:v>87.5 </c:v>
                  </c:pt>
                </c:lvl>
                <c:lvl>
                  <c:pt idx="2">
                    <c:v>45</c:v>
                  </c:pt>
                  <c:pt idx="3">
                    <c:v>44.7 </c:v>
                  </c:pt>
                  <c:pt idx="4">
                    <c:v>65.6 </c:v>
                  </c:pt>
                  <c:pt idx="5">
                    <c:v>96.1 </c:v>
                  </c:pt>
                </c:lvl>
                <c:lvl>
                  <c:pt idx="1">
                    <c:v> Cond. Temp.（℃） </c:v>
                  </c:pt>
                  <c:pt idx="2">
                    <c:v>35</c:v>
                  </c:pt>
                  <c:pt idx="3">
                    <c:v>53.3 </c:v>
                  </c:pt>
                  <c:pt idx="4">
                    <c:v>74.2 </c:v>
                  </c:pt>
                  <c:pt idx="5">
                    <c:v>104.7 </c:v>
                  </c:pt>
                </c:lvl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Cooling Capacity Ｑ(kcal/hr)</c:v>
                  </c:pt>
                  <c:pt idx="3">
                    <c:v>Evap. Temp.</c:v>
                  </c:pt>
                </c:lvl>
              </c:multiLvlStrCache>
            </c:multiLvlStrRef>
          </c:cat>
          <c:val>
            <c:numRef>
              <c:f>'DATA 1320'!$I$11:$I$19</c:f>
              <c:numCache>
                <c:formatCode>General</c:formatCode>
                <c:ptCount val="9"/>
                <c:pt idx="2">
                  <c:v>45</c:v>
                </c:pt>
                <c:pt idx="3" formatCode="0.0_);[Red]\(0.0\)">
                  <c:v>25.269840951940697</c:v>
                </c:pt>
                <c:pt idx="4" formatCode="0.0_);[Red]\(0.0\)">
                  <c:v>33.203208696057622</c:v>
                </c:pt>
                <c:pt idx="5" formatCode="0.0_);[Red]\(0.0\)">
                  <c:v>40.614662854169886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5E-4D50-93D0-CBA44C507091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'DATA 1320'!$A$11:$G$19</c:f>
              <c:multiLvlStrCache>
                <c:ptCount val="6"/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Input  （Ｗ）</c:v>
                  </c:pt>
                  <c:pt idx="3">
                    <c:v>Evap. Temp.</c:v>
                  </c:pt>
                </c:lvl>
                <c:lvl>
                  <c:pt idx="2">
                    <c:v>55</c:v>
                  </c:pt>
                  <c:pt idx="3">
                    <c:v>36.1 </c:v>
                  </c:pt>
                  <c:pt idx="4">
                    <c:v>57.0 </c:v>
                  </c:pt>
                  <c:pt idx="5">
                    <c:v>87.5 </c:v>
                  </c:pt>
                </c:lvl>
                <c:lvl>
                  <c:pt idx="2">
                    <c:v>45</c:v>
                  </c:pt>
                  <c:pt idx="3">
                    <c:v>44.7 </c:v>
                  </c:pt>
                  <c:pt idx="4">
                    <c:v>65.6 </c:v>
                  </c:pt>
                  <c:pt idx="5">
                    <c:v>96.1 </c:v>
                  </c:pt>
                </c:lvl>
                <c:lvl>
                  <c:pt idx="1">
                    <c:v> Cond. Temp.（℃） </c:v>
                  </c:pt>
                  <c:pt idx="2">
                    <c:v>35</c:v>
                  </c:pt>
                  <c:pt idx="3">
                    <c:v>53.3 </c:v>
                  </c:pt>
                  <c:pt idx="4">
                    <c:v>74.2 </c:v>
                  </c:pt>
                  <c:pt idx="5">
                    <c:v>104.7 </c:v>
                  </c:pt>
                </c:lvl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Cooling Capacity Ｑ(kcal/hr)</c:v>
                  </c:pt>
                  <c:pt idx="3">
                    <c:v>Evap. Temp.</c:v>
                  </c:pt>
                </c:lvl>
              </c:multiLvlStrCache>
            </c:multiLvlStrRef>
          </c:cat>
          <c:val>
            <c:numRef>
              <c:f>'DATA 1320'!$J$11:$J$19</c:f>
              <c:numCache>
                <c:formatCode>General</c:formatCode>
                <c:ptCount val="9"/>
                <c:pt idx="2" formatCode="###">
                  <c:v>55</c:v>
                </c:pt>
                <c:pt idx="3" formatCode="0.0_);[Red]\(0.0\)">
                  <c:v>27.353683661748953</c:v>
                </c:pt>
                <c:pt idx="4" formatCode="0.0_);[Red]\(0.0\)">
                  <c:v>36.694742270957995</c:v>
                </c:pt>
                <c:pt idx="5" formatCode="0.0_);[Red]\(0.0\)">
                  <c:v>46.042495865244213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5E-4D50-93D0-CBA44C507091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'DATA 1320'!$A$11:$G$19</c:f>
              <c:multiLvlStrCache>
                <c:ptCount val="6"/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Input  （Ｗ）</c:v>
                  </c:pt>
                  <c:pt idx="3">
                    <c:v>Evap. Temp.</c:v>
                  </c:pt>
                </c:lvl>
                <c:lvl>
                  <c:pt idx="2">
                    <c:v>55</c:v>
                  </c:pt>
                  <c:pt idx="3">
                    <c:v>36.1 </c:v>
                  </c:pt>
                  <c:pt idx="4">
                    <c:v>57.0 </c:v>
                  </c:pt>
                  <c:pt idx="5">
                    <c:v>87.5 </c:v>
                  </c:pt>
                </c:lvl>
                <c:lvl>
                  <c:pt idx="2">
                    <c:v>45</c:v>
                  </c:pt>
                  <c:pt idx="3">
                    <c:v>44.7 </c:v>
                  </c:pt>
                  <c:pt idx="4">
                    <c:v>65.6 </c:v>
                  </c:pt>
                  <c:pt idx="5">
                    <c:v>96.1 </c:v>
                  </c:pt>
                </c:lvl>
                <c:lvl>
                  <c:pt idx="1">
                    <c:v> Cond. Temp.（℃） </c:v>
                  </c:pt>
                  <c:pt idx="2">
                    <c:v>35</c:v>
                  </c:pt>
                  <c:pt idx="3">
                    <c:v>53.3 </c:v>
                  </c:pt>
                  <c:pt idx="4">
                    <c:v>74.2 </c:v>
                  </c:pt>
                  <c:pt idx="5">
                    <c:v>104.7 </c:v>
                  </c:pt>
                </c:lvl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Cooling Capacity Ｑ(kcal/hr)</c:v>
                  </c:pt>
                  <c:pt idx="3">
                    <c:v>Evap. Temp.</c:v>
                  </c:pt>
                </c:lvl>
              </c:multiLvlStrCache>
            </c:multiLvlStrRef>
          </c:cat>
          <c:val>
            <c:numRef>
              <c:f>'DATA 1320'!$K$11:$K$19</c:f>
              <c:numCache>
                <c:formatCode>General</c:formatCode>
                <c:ptCount val="9"/>
                <c:pt idx="0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5E-4D50-93D0-CBA44C507091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'DATA 1320'!$A$11:$G$19</c:f>
              <c:multiLvlStrCache>
                <c:ptCount val="6"/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Input  （Ｗ）</c:v>
                  </c:pt>
                  <c:pt idx="3">
                    <c:v>Evap. Temp.</c:v>
                  </c:pt>
                </c:lvl>
                <c:lvl>
                  <c:pt idx="2">
                    <c:v>55</c:v>
                  </c:pt>
                  <c:pt idx="3">
                    <c:v>36.1 </c:v>
                  </c:pt>
                  <c:pt idx="4">
                    <c:v>57.0 </c:v>
                  </c:pt>
                  <c:pt idx="5">
                    <c:v>87.5 </c:v>
                  </c:pt>
                </c:lvl>
                <c:lvl>
                  <c:pt idx="2">
                    <c:v>45</c:v>
                  </c:pt>
                  <c:pt idx="3">
                    <c:v>44.7 </c:v>
                  </c:pt>
                  <c:pt idx="4">
                    <c:v>65.6 </c:v>
                  </c:pt>
                  <c:pt idx="5">
                    <c:v>96.1 </c:v>
                  </c:pt>
                </c:lvl>
                <c:lvl>
                  <c:pt idx="1">
                    <c:v> Cond. Temp.（℃） </c:v>
                  </c:pt>
                  <c:pt idx="2">
                    <c:v>35</c:v>
                  </c:pt>
                  <c:pt idx="3">
                    <c:v>53.3 </c:v>
                  </c:pt>
                  <c:pt idx="4">
                    <c:v>74.2 </c:v>
                  </c:pt>
                  <c:pt idx="5">
                    <c:v>104.7 </c:v>
                  </c:pt>
                </c:lvl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Cooling Capacity Ｑ(kcal/hr)</c:v>
                  </c:pt>
                  <c:pt idx="3">
                    <c:v>Evap. Temp.</c:v>
                  </c:pt>
                </c:lvl>
              </c:multiLvlStrCache>
            </c:multiLvlStrRef>
          </c:cat>
          <c:val>
            <c:numRef>
              <c:f>'DATA 1320'!$L$11:$L$19</c:f>
              <c:numCache>
                <c:formatCode>General</c:formatCode>
                <c:ptCount val="9"/>
                <c:pt idx="3" formatCode="###.0">
                  <c:v>-35</c:v>
                </c:pt>
                <c:pt idx="4" formatCode="###.0">
                  <c:v>-25</c:v>
                </c:pt>
                <c:pt idx="5" formatCode="###.0">
                  <c:v>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5E-4D50-93D0-CBA44C507091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'DATA 1320'!$A$11:$G$19</c:f>
              <c:multiLvlStrCache>
                <c:ptCount val="6"/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Input  （Ｗ）</c:v>
                  </c:pt>
                  <c:pt idx="3">
                    <c:v>Evap. Temp.</c:v>
                  </c:pt>
                </c:lvl>
                <c:lvl>
                  <c:pt idx="2">
                    <c:v>55</c:v>
                  </c:pt>
                  <c:pt idx="3">
                    <c:v>36.1 </c:v>
                  </c:pt>
                  <c:pt idx="4">
                    <c:v>57.0 </c:v>
                  </c:pt>
                  <c:pt idx="5">
                    <c:v>87.5 </c:v>
                  </c:pt>
                </c:lvl>
                <c:lvl>
                  <c:pt idx="2">
                    <c:v>45</c:v>
                  </c:pt>
                  <c:pt idx="3">
                    <c:v>44.7 </c:v>
                  </c:pt>
                  <c:pt idx="4">
                    <c:v>65.6 </c:v>
                  </c:pt>
                  <c:pt idx="5">
                    <c:v>96.1 </c:v>
                  </c:pt>
                </c:lvl>
                <c:lvl>
                  <c:pt idx="1">
                    <c:v> Cond. Temp.（℃） </c:v>
                  </c:pt>
                  <c:pt idx="2">
                    <c:v>35</c:v>
                  </c:pt>
                  <c:pt idx="3">
                    <c:v>53.3 </c:v>
                  </c:pt>
                  <c:pt idx="4">
                    <c:v>74.2 </c:v>
                  </c:pt>
                  <c:pt idx="5">
                    <c:v>104.7 </c:v>
                  </c:pt>
                </c:lvl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Cooling Capacity Ｑ(kcal/hr)</c:v>
                  </c:pt>
                  <c:pt idx="3">
                    <c:v>Evap. Temp.</c:v>
                  </c:pt>
                </c:lvl>
              </c:multiLvlStrCache>
            </c:multiLvlStrRef>
          </c:cat>
          <c:val>
            <c:numRef>
              <c:f>'DATA 1320'!$M$11:$M$19</c:f>
              <c:numCache>
                <c:formatCode>General</c:formatCode>
                <c:ptCount val="9"/>
                <c:pt idx="1">
                  <c:v>0</c:v>
                </c:pt>
                <c:pt idx="2">
                  <c:v>35</c:v>
                </c:pt>
                <c:pt idx="3" formatCode="0.000">
                  <c:v>1.0956245219078622</c:v>
                </c:pt>
                <c:pt idx="4" formatCode="0.000">
                  <c:v>0.95303014229325811</c:v>
                </c:pt>
                <c:pt idx="5" formatCode="0.000">
                  <c:v>0.87619842763603994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5E-4D50-93D0-CBA44C507091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'DATA 1320'!$A$11:$G$19</c:f>
              <c:multiLvlStrCache>
                <c:ptCount val="6"/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Input  （Ｗ）</c:v>
                  </c:pt>
                  <c:pt idx="3">
                    <c:v>Evap. Temp.</c:v>
                  </c:pt>
                </c:lvl>
                <c:lvl>
                  <c:pt idx="2">
                    <c:v>55</c:v>
                  </c:pt>
                  <c:pt idx="3">
                    <c:v>36.1 </c:v>
                  </c:pt>
                  <c:pt idx="4">
                    <c:v>57.0 </c:v>
                  </c:pt>
                  <c:pt idx="5">
                    <c:v>87.5 </c:v>
                  </c:pt>
                </c:lvl>
                <c:lvl>
                  <c:pt idx="2">
                    <c:v>45</c:v>
                  </c:pt>
                  <c:pt idx="3">
                    <c:v>44.7 </c:v>
                  </c:pt>
                  <c:pt idx="4">
                    <c:v>65.6 </c:v>
                  </c:pt>
                  <c:pt idx="5">
                    <c:v>96.1 </c:v>
                  </c:pt>
                </c:lvl>
                <c:lvl>
                  <c:pt idx="1">
                    <c:v> Cond. Temp.（℃） </c:v>
                  </c:pt>
                  <c:pt idx="2">
                    <c:v>35</c:v>
                  </c:pt>
                  <c:pt idx="3">
                    <c:v>53.3 </c:v>
                  </c:pt>
                  <c:pt idx="4">
                    <c:v>74.2 </c:v>
                  </c:pt>
                  <c:pt idx="5">
                    <c:v>104.7 </c:v>
                  </c:pt>
                </c:lvl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Cooling Capacity Ｑ(kcal/hr)</c:v>
                  </c:pt>
                  <c:pt idx="3">
                    <c:v>Evap. Temp.</c:v>
                  </c:pt>
                </c:lvl>
              </c:multiLvlStrCache>
            </c:multiLvlStrRef>
          </c:cat>
          <c:val>
            <c:numRef>
              <c:f>'DATA 1320'!$N$11:$N$19</c:f>
              <c:numCache>
                <c:formatCode>General</c:formatCode>
                <c:ptCount val="9"/>
                <c:pt idx="2">
                  <c:v>45</c:v>
                </c:pt>
                <c:pt idx="3" formatCode="0.000">
                  <c:v>0.91886269724632264</c:v>
                </c:pt>
                <c:pt idx="4" formatCode="0.000">
                  <c:v>0.84245899355537046</c:v>
                </c:pt>
                <c:pt idx="5" formatCode="0.000">
                  <c:v>0.80414322124020599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5E-4D50-93D0-CBA44C507091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'DATA 1320'!$A$11:$G$19</c:f>
              <c:multiLvlStrCache>
                <c:ptCount val="6"/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Input  （Ｗ）</c:v>
                  </c:pt>
                  <c:pt idx="3">
                    <c:v>Evap. Temp.</c:v>
                  </c:pt>
                </c:lvl>
                <c:lvl>
                  <c:pt idx="2">
                    <c:v>55</c:v>
                  </c:pt>
                  <c:pt idx="3">
                    <c:v>36.1 </c:v>
                  </c:pt>
                  <c:pt idx="4">
                    <c:v>57.0 </c:v>
                  </c:pt>
                  <c:pt idx="5">
                    <c:v>87.5 </c:v>
                  </c:pt>
                </c:lvl>
                <c:lvl>
                  <c:pt idx="2">
                    <c:v>45</c:v>
                  </c:pt>
                  <c:pt idx="3">
                    <c:v>44.7 </c:v>
                  </c:pt>
                  <c:pt idx="4">
                    <c:v>65.6 </c:v>
                  </c:pt>
                  <c:pt idx="5">
                    <c:v>96.1 </c:v>
                  </c:pt>
                </c:lvl>
                <c:lvl>
                  <c:pt idx="1">
                    <c:v> Cond. Temp.（℃） </c:v>
                  </c:pt>
                  <c:pt idx="2">
                    <c:v>35</c:v>
                  </c:pt>
                  <c:pt idx="3">
                    <c:v>53.3 </c:v>
                  </c:pt>
                  <c:pt idx="4">
                    <c:v>74.2 </c:v>
                  </c:pt>
                  <c:pt idx="5">
                    <c:v>104.7 </c:v>
                  </c:pt>
                </c:lvl>
                <c:lvl>
                  <c:pt idx="3">
                    <c:v>-35.0</c:v>
                  </c:pt>
                  <c:pt idx="4">
                    <c:v>-25.0</c:v>
                  </c:pt>
                  <c:pt idx="5">
                    <c:v>-15.0</c:v>
                  </c:pt>
                </c:lvl>
                <c:lvl>
                  <c:pt idx="0">
                    <c:v>Cooling Capacity Ｑ(kcal/hr)</c:v>
                  </c:pt>
                  <c:pt idx="3">
                    <c:v>Evap. Temp.</c:v>
                  </c:pt>
                </c:lvl>
              </c:multiLvlStrCache>
            </c:multiLvlStrRef>
          </c:cat>
          <c:val>
            <c:numRef>
              <c:f>'DATA 1320'!$O$11:$O$19</c:f>
              <c:numCache>
                <c:formatCode>General</c:formatCode>
                <c:ptCount val="9"/>
                <c:pt idx="2">
                  <c:v>55</c:v>
                </c:pt>
                <c:pt idx="3" formatCode="0.000">
                  <c:v>0.74203898626997011</c:v>
                </c:pt>
                <c:pt idx="4" formatCode="0.000">
                  <c:v>0.73182012025267396</c:v>
                </c:pt>
                <c:pt idx="5" formatCode="0.000">
                  <c:v>0.73202501175514101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5E-4D50-93D0-CBA44C507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164128"/>
        <c:axId val="509946192"/>
      </c:barChart>
      <c:catAx>
        <c:axId val="57816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46192"/>
        <c:crosses val="autoZero"/>
        <c:auto val="1"/>
        <c:lblAlgn val="ctr"/>
        <c:lblOffset val="100"/>
        <c:noMultiLvlLbl val="0"/>
      </c:catAx>
      <c:valAx>
        <c:axId val="50994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6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 altLang="ja-JP" sz="1400"/>
              <a:t>Cooling capacity</a:t>
            </a:r>
            <a:endParaRPr lang="ja-JP" altLang="en-US" sz="1400"/>
          </a:p>
        </c:rich>
      </c:tx>
      <c:layout>
        <c:manualLayout>
          <c:xMode val="edge"/>
          <c:yMode val="edge"/>
          <c:x val="0.40410891094447798"/>
          <c:y val="2.02020686928935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291666666666666E-2"/>
          <c:y val="0.12121212121212122"/>
          <c:w val="0.81354166666666672"/>
          <c:h val="0.776094276094276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 1320'!$C$104</c:f>
              <c:strCache>
                <c:ptCount val="1"/>
                <c:pt idx="0">
                  <c:v>35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0070C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'DATA 1320'!$B$105:$B$109</c:f>
              <c:numCache>
                <c:formatCode>General</c:formatCode>
                <c:ptCount val="5"/>
                <c:pt idx="0">
                  <c:v>-35</c:v>
                </c:pt>
                <c:pt idx="1">
                  <c:v>-25</c:v>
                </c:pt>
                <c:pt idx="2">
                  <c:v>-15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'DATA 1320'!$C$105:$C$109</c:f>
              <c:numCache>
                <c:formatCode>0.00_ </c:formatCode>
                <c:ptCount val="5"/>
                <c:pt idx="0">
                  <c:v>49.148218822985378</c:v>
                </c:pt>
                <c:pt idx="1">
                  <c:v>75.099432226033741</c:v>
                </c:pt>
                <c:pt idx="2">
                  <c:v>112.198762490871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4E-4EAE-B739-32505A9B936F}"/>
            </c:ext>
          </c:extLst>
        </c:ser>
        <c:ser>
          <c:idx val="1"/>
          <c:order val="1"/>
          <c:tx>
            <c:strRef>
              <c:f>'DATA 1320'!$D$104</c:f>
              <c:strCache>
                <c:ptCount val="1"/>
                <c:pt idx="0">
                  <c:v>45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7030A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'DATA 1320'!$B$105:$B$109</c:f>
              <c:numCache>
                <c:formatCode>General</c:formatCode>
                <c:ptCount val="5"/>
                <c:pt idx="0">
                  <c:v>-35</c:v>
                </c:pt>
                <c:pt idx="1">
                  <c:v>-25</c:v>
                </c:pt>
                <c:pt idx="2">
                  <c:v>-15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'DATA 1320'!$D$105:$D$109</c:f>
              <c:numCache>
                <c:formatCode>0.00_ </c:formatCode>
                <c:ptCount val="5"/>
                <c:pt idx="0">
                  <c:v>44.429355096667656</c:v>
                </c:pt>
                <c:pt idx="1">
                  <c:v>66.501494990574457</c:v>
                </c:pt>
                <c:pt idx="2">
                  <c:v>98.055900080330318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4E-4EAE-B739-32505A9B936F}"/>
            </c:ext>
          </c:extLst>
        </c:ser>
        <c:ser>
          <c:idx val="2"/>
          <c:order val="2"/>
          <c:tx>
            <c:strRef>
              <c:f>'DATA 1320'!$E$104</c:f>
              <c:strCache>
                <c:ptCount val="1"/>
                <c:pt idx="0">
                  <c:v>55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chemeClr val="accent6">
                    <a:lumMod val="75000"/>
                  </a:schemeClr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'DATA 1320'!$B$105:$B$109</c:f>
              <c:numCache>
                <c:formatCode>General</c:formatCode>
                <c:ptCount val="5"/>
                <c:pt idx="0">
                  <c:v>-35</c:v>
                </c:pt>
                <c:pt idx="1">
                  <c:v>-25</c:v>
                </c:pt>
                <c:pt idx="2">
                  <c:v>-15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'DATA 1320'!$E$105:$E$109</c:f>
              <c:numCache>
                <c:formatCode>0.00_ </c:formatCode>
                <c:ptCount val="5"/>
                <c:pt idx="0">
                  <c:v>38.760286908313113</c:v>
                </c:pt>
                <c:pt idx="1">
                  <c:v>56.172251491727714</c:v>
                </c:pt>
                <c:pt idx="2">
                  <c:v>81.065188749398146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94E-4EAE-B739-32505A9B936F}"/>
            </c:ext>
          </c:extLst>
        </c:ser>
        <c:ser>
          <c:idx val="3"/>
          <c:order val="3"/>
          <c:tx>
            <c:strRef>
              <c:f>'DATA 1320'!$F$104</c:f>
              <c:strCache>
                <c:ptCount val="1"/>
                <c:pt idx="0">
                  <c:v>35.0 </c:v>
                </c:pt>
              </c:strCache>
            </c:strRef>
          </c:tx>
          <c:spPr>
            <a:ln w="28575">
              <a:noFill/>
            </a:ln>
          </c:spPr>
          <c:xVal>
            <c:numRef>
              <c:f>'DATA 1320'!$B$105:$B$109</c:f>
              <c:numCache>
                <c:formatCode>General</c:formatCode>
                <c:ptCount val="5"/>
                <c:pt idx="0">
                  <c:v>-35</c:v>
                </c:pt>
                <c:pt idx="1">
                  <c:v>-25</c:v>
                </c:pt>
                <c:pt idx="2">
                  <c:v>-15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'DATA 1320'!$F$105:$F$109</c:f>
              <c:numCache>
                <c:formatCode>0.0_ </c:formatCode>
                <c:ptCount val="5"/>
                <c:pt idx="0">
                  <c:v>53.328881345434553</c:v>
                </c:pt>
                <c:pt idx="1">
                  <c:v>74.190209093796227</c:v>
                </c:pt>
                <c:pt idx="2">
                  <c:v>104.74899782402751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4E-4EAE-B739-32505A9B936F}"/>
            </c:ext>
          </c:extLst>
        </c:ser>
        <c:ser>
          <c:idx val="4"/>
          <c:order val="4"/>
          <c:tx>
            <c:strRef>
              <c:f>'DATA 1320'!$G$104</c:f>
              <c:strCache>
                <c:ptCount val="1"/>
                <c:pt idx="0">
                  <c:v>45.0 </c:v>
                </c:pt>
              </c:strCache>
            </c:strRef>
          </c:tx>
          <c:spPr>
            <a:ln w="28575">
              <a:noFill/>
            </a:ln>
          </c:spPr>
          <c:xVal>
            <c:numRef>
              <c:f>'DATA 1320'!$B$105:$B$109</c:f>
              <c:numCache>
                <c:formatCode>General</c:formatCode>
                <c:ptCount val="5"/>
                <c:pt idx="0">
                  <c:v>-35</c:v>
                </c:pt>
                <c:pt idx="1">
                  <c:v>-25</c:v>
                </c:pt>
                <c:pt idx="2">
                  <c:v>-15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'DATA 1320'!$G$105:$G$109</c:f>
              <c:numCache>
                <c:formatCode>0.0_ </c:formatCode>
                <c:ptCount val="5"/>
                <c:pt idx="0">
                  <c:v>44.725103148353924</c:v>
                </c:pt>
                <c:pt idx="1">
                  <c:v>65.582614978393224</c:v>
                </c:pt>
                <c:pt idx="2">
                  <c:v>96.134841007596592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94E-4EAE-B739-32505A9B936F}"/>
            </c:ext>
          </c:extLst>
        </c:ser>
        <c:ser>
          <c:idx val="5"/>
          <c:order val="5"/>
          <c:tx>
            <c:strRef>
              <c:f>'DATA 1320'!$H$104</c:f>
              <c:strCache>
                <c:ptCount val="1"/>
                <c:pt idx="0">
                  <c:v>55.0 </c:v>
                </c:pt>
              </c:strCache>
            </c:strRef>
          </c:tx>
          <c:spPr>
            <a:ln w="28575">
              <a:noFill/>
            </a:ln>
          </c:spPr>
          <c:xVal>
            <c:numRef>
              <c:f>'DATA 1320'!$B$105:$B$109</c:f>
              <c:numCache>
                <c:formatCode>General</c:formatCode>
                <c:ptCount val="5"/>
                <c:pt idx="0">
                  <c:v>-35</c:v>
                </c:pt>
                <c:pt idx="1">
                  <c:v>-25</c:v>
                </c:pt>
                <c:pt idx="2">
                  <c:v>-15</c:v>
                </c:pt>
                <c:pt idx="3">
                  <c:v>-20</c:v>
                </c:pt>
                <c:pt idx="4">
                  <c:v>-15</c:v>
                </c:pt>
              </c:numCache>
            </c:numRef>
          </c:xVal>
          <c:yVal>
            <c:numRef>
              <c:f>'DATA 1320'!$H$105:$H$109</c:f>
              <c:numCache>
                <c:formatCode>0.0_ </c:formatCode>
                <c:ptCount val="5"/>
                <c:pt idx="0">
                  <c:v>36.118312671177719</c:v>
                </c:pt>
                <c:pt idx="1">
                  <c:v>56.969748732129958</c:v>
                </c:pt>
                <c:pt idx="2">
                  <c:v>87.513152209540692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4E-4EAE-B739-32505A9B9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12776"/>
        <c:axId val="298411600"/>
      </c:scatterChart>
      <c:valAx>
        <c:axId val="298412776"/>
        <c:scaling>
          <c:orientation val="minMax"/>
          <c:max val="-10"/>
          <c:min val="-3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/>
                  <a:t>Evaporating</a:t>
                </a:r>
                <a:r>
                  <a:rPr lang="en-US" altLang="ja-JP" baseline="0"/>
                  <a:t> Temp.</a:t>
                </a:r>
                <a:r>
                  <a:rPr lang="ja-JP" altLang="en-US"/>
                  <a:t>℃</a:t>
                </a:r>
              </a:p>
            </c:rich>
          </c:tx>
          <c:layout>
            <c:manualLayout>
              <c:xMode val="edge"/>
              <c:yMode val="edge"/>
              <c:x val="0.44479166666666664"/>
              <c:y val="0.9511784511784511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1600"/>
        <c:crosses val="autoZero"/>
        <c:crossBetween val="midCat"/>
        <c:majorUnit val="1"/>
      </c:valAx>
      <c:valAx>
        <c:axId val="298411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Cooling capacity</a:t>
                </a: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　</a:t>
                </a:r>
                <a:r>
                  <a:rPr lang="en-US" alt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Kcal/h</a:t>
                </a:r>
                <a:endPara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endParaRPr>
              </a:p>
            </c:rich>
          </c:tx>
          <c:layout>
            <c:manualLayout>
              <c:xMode val="edge"/>
              <c:yMode val="edge"/>
              <c:x val="1.4583333333333334E-2"/>
              <c:y val="0.4377104377104377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8412776"/>
        <c:crossesAt val="-30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91840277777777779"/>
          <c:y val="0.1061640719567758"/>
          <c:w val="4.9118110236220473E-2"/>
          <c:h val="0.215809786339598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 sz="1400"/>
              <a:t>INPUT</a:t>
            </a:r>
            <a:endParaRPr lang="ja-JP" altLang="en-US" sz="14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1320'!$L$104</c:f>
              <c:strCache>
                <c:ptCount val="1"/>
                <c:pt idx="0">
                  <c:v>40.5 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0070C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'DATA 1320'!$K$105:$K$109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'DATA 1320'!$L$105:$L$109</c:f>
              <c:numCache>
                <c:formatCode>0.0_ </c:formatCode>
                <c:ptCount val="5"/>
                <c:pt idx="0">
                  <c:v>23.098144708632134</c:v>
                </c:pt>
                <c:pt idx="1">
                  <c:v>29.241039210724985</c:v>
                </c:pt>
                <c:pt idx="2">
                  <c:v>34.862020126813064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CC-4DAC-8DD8-D193A6EE9E78}"/>
            </c:ext>
          </c:extLst>
        </c:ser>
        <c:ser>
          <c:idx val="1"/>
          <c:order val="1"/>
          <c:tx>
            <c:strRef>
              <c:f>'DATA 1320'!$M$104</c:f>
              <c:strCache>
                <c:ptCount val="1"/>
                <c:pt idx="0">
                  <c:v>54.4 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C0000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'DATA 1320'!$K$105:$K$109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'DATA 1320'!$M$105:$M$109</c:f>
              <c:numCache>
                <c:formatCode>0.0_ </c:formatCode>
                <c:ptCount val="5"/>
                <c:pt idx="0">
                  <c:v>25.199458967135147</c:v>
                </c:pt>
                <c:pt idx="1">
                  <c:v>33.085435474695657</c:v>
                </c:pt>
                <c:pt idx="2">
                  <c:v>40.4494983962514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CC-4DAC-8DD8-D193A6EE9E78}"/>
            </c:ext>
          </c:extLst>
        </c:ser>
        <c:ser>
          <c:idx val="2"/>
          <c:order val="2"/>
          <c:tx>
            <c:strRef>
              <c:f>'DATA 1320'!$N$104</c:f>
              <c:strCache>
                <c:ptCount val="1"/>
                <c:pt idx="0">
                  <c:v>65.0 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rgbClr val="00B050"/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'DATA 1320'!$K$105:$K$109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'DATA 1320'!$N$105:$N$109</c:f>
              <c:numCache>
                <c:formatCode>0.0_ </c:formatCode>
                <c:ptCount val="5"/>
                <c:pt idx="0">
                  <c:v>27.300773225638157</c:v>
                </c:pt>
                <c:pt idx="1">
                  <c:v>36.92983173866633</c:v>
                </c:pt>
                <c:pt idx="2">
                  <c:v>46.036976665689728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DCC-4DAC-8DD8-D193A6EE9E78}"/>
            </c:ext>
          </c:extLst>
        </c:ser>
        <c:ser>
          <c:idx val="3"/>
          <c:order val="3"/>
          <c:tx>
            <c:strRef>
              <c:f>'DATA 1320'!$O$104</c:f>
              <c:strCache>
                <c:ptCount val="1"/>
                <c:pt idx="0">
                  <c:v>40.5</c:v>
                </c:pt>
              </c:strCache>
            </c:strRef>
          </c:tx>
          <c:spPr>
            <a:ln w="28575">
              <a:noFill/>
            </a:ln>
          </c:spPr>
          <c:xVal>
            <c:numRef>
              <c:f>'DATA 1320'!$K$105:$K$109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'DATA 1320'!$O$105:$O$109</c:f>
              <c:numCache>
                <c:formatCode>0.00_ </c:formatCode>
                <c:ptCount val="5"/>
                <c:pt idx="0">
                  <c:v>22.974852287715816</c:v>
                </c:pt>
                <c:pt idx="1">
                  <c:v>29.358355457071273</c:v>
                </c:pt>
                <c:pt idx="2">
                  <c:v>34.6913364693402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DCC-4DAC-8DD8-D193A6EE9E78}"/>
            </c:ext>
          </c:extLst>
        </c:ser>
        <c:ser>
          <c:idx val="4"/>
          <c:order val="4"/>
          <c:tx>
            <c:strRef>
              <c:f>'DATA 1320'!$P$104</c:f>
              <c:strCache>
                <c:ptCount val="1"/>
                <c:pt idx="0">
                  <c:v>54.4</c:v>
                </c:pt>
              </c:strCache>
            </c:strRef>
          </c:tx>
          <c:spPr>
            <a:ln w="28575">
              <a:noFill/>
            </a:ln>
          </c:spPr>
          <c:xVal>
            <c:numRef>
              <c:f>'DATA 1320'!$K$105:$K$109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'DATA 1320'!$P$105:$P$109</c:f>
              <c:numCache>
                <c:formatCode>0.00_ </c:formatCode>
                <c:ptCount val="5"/>
                <c:pt idx="0">
                  <c:v>25.269840951940697</c:v>
                </c:pt>
                <c:pt idx="1">
                  <c:v>33.203208696057622</c:v>
                </c:pt>
                <c:pt idx="2">
                  <c:v>40.614662854169886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DCC-4DAC-8DD8-D193A6EE9E78}"/>
            </c:ext>
          </c:extLst>
        </c:ser>
        <c:ser>
          <c:idx val="5"/>
          <c:order val="5"/>
          <c:tx>
            <c:strRef>
              <c:f>'DATA 1320'!$Q$104</c:f>
              <c:strCache>
                <c:ptCount val="1"/>
                <c:pt idx="0">
                  <c:v>65</c:v>
                </c:pt>
              </c:strCache>
            </c:strRef>
          </c:tx>
          <c:spPr>
            <a:ln w="28575">
              <a:noFill/>
            </a:ln>
          </c:spPr>
          <c:xVal>
            <c:numRef>
              <c:f>'DATA 1320'!$K$105:$K$109</c:f>
              <c:numCache>
                <c:formatCode>General</c:formatCode>
                <c:ptCount val="5"/>
                <c:pt idx="0">
                  <c:v>-30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</c:numCache>
            </c:numRef>
          </c:xVal>
          <c:yVal>
            <c:numRef>
              <c:f>'DATA 1320'!$Q$105:$Q$109</c:f>
              <c:numCache>
                <c:formatCode>0.00_ </c:formatCode>
                <c:ptCount val="5"/>
                <c:pt idx="0">
                  <c:v>27.353683661748953</c:v>
                </c:pt>
                <c:pt idx="1">
                  <c:v>36.694742270957995</c:v>
                </c:pt>
                <c:pt idx="2">
                  <c:v>46.042495865244213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DCC-4DAC-8DD8-D193A6EE9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12384"/>
        <c:axId val="298413168"/>
      </c:scatterChart>
      <c:valAx>
        <c:axId val="298412384"/>
        <c:scaling>
          <c:orientation val="minMax"/>
          <c:max val="-10"/>
          <c:min val="-3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 sz="1400"/>
                  <a:t>Evaporating Temp.</a:t>
                </a:r>
                <a:r>
                  <a:rPr lang="ja-JP" altLang="en-US" sz="1400"/>
                  <a:t>　℃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8413168"/>
        <c:crosses val="autoZero"/>
        <c:crossBetween val="midCat"/>
        <c:majorUnit val="2"/>
      </c:valAx>
      <c:valAx>
        <c:axId val="298413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 sz="1400"/>
                  <a:t>INPUT</a:t>
                </a:r>
                <a:r>
                  <a:rPr lang="ja-JP" altLang="en-US" sz="1400"/>
                  <a:t>　Ｗ</a:t>
                </a:r>
              </a:p>
            </c:rich>
          </c:tx>
          <c:overlay val="0"/>
        </c:title>
        <c:numFmt formatCode="0_ 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8412384"/>
        <c:crossesAt val="-40"/>
        <c:crossBetween val="midCat"/>
      </c:valAx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93065446501057048"/>
          <c:y val="9.6681746130094448E-2"/>
          <c:w val="5.1308310571943898E-2"/>
          <c:h val="0.24358091619098093"/>
        </c:manualLayout>
      </c:layout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r>
              <a:rPr lang="ja-JP" altLang="en-US"/>
              <a:t>入力特性
</a:t>
            </a:r>
          </a:p>
        </c:rich>
      </c:tx>
      <c:layout>
        <c:manualLayout>
          <c:xMode val="edge"/>
          <c:yMode val="edge"/>
          <c:x val="0.46729857819905213"/>
          <c:y val="1.99386503067484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90995260663507"/>
          <c:y val="0.13803680981595093"/>
          <c:w val="0.75639810426540288"/>
          <c:h val="0.71012269938650308"/>
        </c:manualLayout>
      </c:layout>
      <c:lineChart>
        <c:grouping val="standard"/>
        <c:varyColors val="0"/>
        <c:ser>
          <c:idx val="0"/>
          <c:order val="0"/>
          <c:tx>
            <c:strRef>
              <c:f>'DATA 1320'!$J$42</c:f>
              <c:strCache>
                <c:ptCount val="1"/>
                <c:pt idx="0">
                  <c:v>35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'DATA 1320'!$I$43:$I$50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'DATA 1320'!$J$43:$J$50</c:f>
              <c:numCache>
                <c:formatCode>0.00_ </c:formatCode>
                <c:ptCount val="8"/>
                <c:pt idx="0">
                  <c:v>24.995813985790491</c:v>
                </c:pt>
                <c:pt idx="1">
                  <c:v>26.234831157929154</c:v>
                </c:pt>
                <c:pt idx="2">
                  <c:v>27.452971786627632</c:v>
                </c:pt>
                <c:pt idx="3">
                  <c:v>28.650235871885918</c:v>
                </c:pt>
                <c:pt idx="4">
                  <c:v>29.826623413704009</c:v>
                </c:pt>
                <c:pt idx="5">
                  <c:v>30.982134412081916</c:v>
                </c:pt>
                <c:pt idx="6">
                  <c:v>32.116768867019623</c:v>
                </c:pt>
                <c:pt idx="7">
                  <c:v>33.230526778517145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B93-49CA-9718-9B235A94533F}"/>
            </c:ext>
          </c:extLst>
        </c:ser>
        <c:ser>
          <c:idx val="1"/>
          <c:order val="1"/>
          <c:tx>
            <c:strRef>
              <c:f>'DATA 1320'!$K$42</c:f>
              <c:strCache>
                <c:ptCount val="1"/>
                <c:pt idx="0">
                  <c:v>40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'DATA 1320'!$I$43:$I$50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'DATA 1320'!$K$43:$K$50</c:f>
              <c:numCache>
                <c:formatCode>0.00_ </c:formatCode>
                <c:ptCount val="8"/>
                <c:pt idx="0">
                  <c:v>26.307933415862141</c:v>
                </c:pt>
                <c:pt idx="1">
                  <c:v>27.721258788547569</c:v>
                </c:pt>
                <c:pt idx="2">
                  <c:v>29.113707617792816</c:v>
                </c:pt>
                <c:pt idx="3">
                  <c:v>30.485279903597863</c:v>
                </c:pt>
                <c:pt idx="4">
                  <c:v>31.835975645962723</c:v>
                </c:pt>
                <c:pt idx="5">
                  <c:v>33.165794844887394</c:v>
                </c:pt>
                <c:pt idx="6">
                  <c:v>34.47473750037188</c:v>
                </c:pt>
                <c:pt idx="7">
                  <c:v>35.762803612416157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B93-49CA-9718-9B235A94533F}"/>
            </c:ext>
          </c:extLst>
        </c:ser>
        <c:ser>
          <c:idx val="2"/>
          <c:order val="2"/>
          <c:tx>
            <c:strRef>
              <c:f>'DATA 1320'!$L$42</c:f>
              <c:strCache>
                <c:ptCount val="1"/>
                <c:pt idx="0">
                  <c:v>45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'DATA 1320'!$I$43:$I$50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'DATA 1320'!$L$43:$L$50</c:f>
              <c:numCache>
                <c:formatCode>0.00_ </c:formatCode>
                <c:ptCount val="8"/>
                <c:pt idx="0">
                  <c:v>27.620052845933802</c:v>
                </c:pt>
                <c:pt idx="1">
                  <c:v>29.207686419166006</c:v>
                </c:pt>
                <c:pt idx="2">
                  <c:v>30.774443448958007</c:v>
                </c:pt>
                <c:pt idx="3">
                  <c:v>32.320323935309823</c:v>
                </c:pt>
                <c:pt idx="4">
                  <c:v>33.845327878221454</c:v>
                </c:pt>
                <c:pt idx="5">
                  <c:v>35.349455277692883</c:v>
                </c:pt>
                <c:pt idx="6">
                  <c:v>36.832706133724137</c:v>
                </c:pt>
                <c:pt idx="7">
                  <c:v>38.29508044631519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B93-49CA-9718-9B235A94533F}"/>
            </c:ext>
          </c:extLst>
        </c:ser>
        <c:ser>
          <c:idx val="3"/>
          <c:order val="3"/>
          <c:tx>
            <c:strRef>
              <c:f>'DATA 1320'!$M$42</c:f>
              <c:strCache>
                <c:ptCount val="1"/>
                <c:pt idx="0">
                  <c:v>50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'DATA 1320'!$I$43:$I$50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'DATA 1320'!$M$43:$M$50</c:f>
              <c:numCache>
                <c:formatCode>0.00_ </c:formatCode>
                <c:ptCount val="8"/>
                <c:pt idx="0">
                  <c:v>28.932172276005453</c:v>
                </c:pt>
                <c:pt idx="1">
                  <c:v>30.694114049784421</c:v>
                </c:pt>
                <c:pt idx="2">
                  <c:v>32.435179280123194</c:v>
                </c:pt>
                <c:pt idx="3">
                  <c:v>34.155367967021775</c:v>
                </c:pt>
                <c:pt idx="4">
                  <c:v>35.854680110480167</c:v>
                </c:pt>
                <c:pt idx="5">
                  <c:v>37.533115710498365</c:v>
                </c:pt>
                <c:pt idx="6">
                  <c:v>39.190674767076381</c:v>
                </c:pt>
                <c:pt idx="7">
                  <c:v>40.827357280214201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B93-49CA-9718-9B235A94533F}"/>
            </c:ext>
          </c:extLst>
        </c:ser>
        <c:ser>
          <c:idx val="4"/>
          <c:order val="4"/>
          <c:tx>
            <c:strRef>
              <c:f>'DATA 1320'!$N$42</c:f>
              <c:strCache>
                <c:ptCount val="1"/>
                <c:pt idx="0">
                  <c:v>55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numRef>
              <c:f>'DATA 1320'!$I$43:$I$50</c:f>
              <c:numCache>
                <c:formatCode>0.00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'DATA 1320'!$N$43:$N$50</c:f>
              <c:numCache>
                <c:formatCode>0.00_ </c:formatCode>
                <c:ptCount val="8"/>
                <c:pt idx="0">
                  <c:v>30.244291706077099</c:v>
                </c:pt>
                <c:pt idx="1">
                  <c:v>32.18054168040284</c:v>
                </c:pt>
                <c:pt idx="2">
                  <c:v>34.095915111288377</c:v>
                </c:pt>
                <c:pt idx="3">
                  <c:v>35.990411998733727</c:v>
                </c:pt>
                <c:pt idx="4">
                  <c:v>37.864032342738881</c:v>
                </c:pt>
                <c:pt idx="5">
                  <c:v>39.716776143303846</c:v>
                </c:pt>
                <c:pt idx="6">
                  <c:v>41.548643400428631</c:v>
                </c:pt>
                <c:pt idx="7">
                  <c:v>43.35963411411322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1B93-49CA-9718-9B235A945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256856"/>
        <c:axId val="299255288"/>
      </c:lineChart>
      <c:catAx>
        <c:axId val="2992568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蒸発温度(℃）</a:t>
                </a:r>
              </a:p>
            </c:rich>
          </c:tx>
          <c:layout>
            <c:manualLayout>
              <c:xMode val="edge"/>
              <c:yMode val="edge"/>
              <c:x val="0.45592417061611373"/>
              <c:y val="0.8972392638036810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52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9255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入力(W)</a:t>
                </a:r>
              </a:p>
            </c:rich>
          </c:tx>
          <c:layout>
            <c:manualLayout>
              <c:xMode val="edge"/>
              <c:yMode val="edge"/>
              <c:x val="4.1706161137440759E-2"/>
              <c:y val="0.44631901840490795"/>
            </c:manualLayout>
          </c:layout>
          <c:overlay val="0"/>
          <c:spPr>
            <a:noFill/>
            <a:ln w="25400">
              <a:noFill/>
            </a:ln>
          </c:spPr>
        </c:title>
        <c:numFmt formatCode="0.0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68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00473933649284"/>
          <c:y val="0.14723926380368099"/>
          <c:w val="5.308056872037914E-2"/>
          <c:h val="0.1549079754601227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明朝"/>
              <a:ea typeface="明朝"/>
              <a:cs typeface="明朝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明朝"/>
          <a:ea typeface="明朝"/>
          <a:cs typeface="明朝"/>
        </a:defRPr>
      </a:pPr>
      <a:endParaRPr lang="en-US"/>
    </a:p>
  </c:txPr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r>
              <a:rPr lang="ja-JP" altLang="en-US"/>
              <a:t>冷凍能力　（ コンプ測定条件）
</a:t>
            </a:r>
          </a:p>
        </c:rich>
      </c:tx>
      <c:layout>
        <c:manualLayout>
          <c:xMode val="edge"/>
          <c:yMode val="edge"/>
          <c:x val="0.37931034482758619"/>
          <c:y val="2.19435736677115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935960591133005"/>
          <c:y val="0.10344827586206896"/>
          <c:w val="0.77832512315270941"/>
          <c:h val="0.74137931034482762"/>
        </c:manualLayout>
      </c:layout>
      <c:lineChart>
        <c:grouping val="standard"/>
        <c:varyColors val="0"/>
        <c:ser>
          <c:idx val="0"/>
          <c:order val="0"/>
          <c:tx>
            <c:strRef>
              <c:f>'DATA 1320'!$C$42</c:f>
              <c:strCache>
                <c:ptCount val="1"/>
                <c:pt idx="0">
                  <c:v>35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'DATA 1320'!$B$43:$B$50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'DATA 1320'!$C$43:$C$50</c:f>
              <c:numCache>
                <c:formatCode>0.0_);[Red]\(0.0\)</c:formatCode>
                <c:ptCount val="8"/>
                <c:pt idx="0">
                  <c:v>55.930240442462029</c:v>
                </c:pt>
                <c:pt idx="1">
                  <c:v>60.907334699550482</c:v>
                </c:pt>
                <c:pt idx="2">
                  <c:v>66.273404542033433</c:v>
                </c:pt>
                <c:pt idx="3">
                  <c:v>72.050119622569113</c:v>
                </c:pt>
                <c:pt idx="4">
                  <c:v>78.259850759264097</c:v>
                </c:pt>
                <c:pt idx="5">
                  <c:v>84.925685102948478</c:v>
                </c:pt>
                <c:pt idx="6">
                  <c:v>92.071444772402614</c:v>
                </c:pt>
                <c:pt idx="7">
                  <c:v>99.721709573343887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65F-42B1-9332-AFF559841BE2}"/>
            </c:ext>
          </c:extLst>
        </c:ser>
        <c:ser>
          <c:idx val="1"/>
          <c:order val="1"/>
          <c:tx>
            <c:strRef>
              <c:f>'DATA 1320'!$D$42</c:f>
              <c:strCache>
                <c:ptCount val="1"/>
                <c:pt idx="0">
                  <c:v>40 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'DATA 1320'!$B$43:$B$50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'DATA 1320'!$D$43:$D$50</c:f>
              <c:numCache>
                <c:formatCode>0.0_);[Red]\(0.0\)</c:formatCode>
                <c:ptCount val="8"/>
                <c:pt idx="0">
                  <c:v>53.200742695109525</c:v>
                </c:pt>
                <c:pt idx="1">
                  <c:v>57.823612037698481</c:v>
                </c:pt>
                <c:pt idx="2">
                  <c:v>62.807779049942084</c:v>
                </c:pt>
                <c:pt idx="3">
                  <c:v>68.173372521005163</c:v>
                </c:pt>
                <c:pt idx="4">
                  <c:v>73.941172714758238</c:v>
                </c:pt>
                <c:pt idx="5">
                  <c:v>80.132625481676058</c:v>
                </c:pt>
                <c:pt idx="6">
                  <c:v>86.769859593977515</c:v>
                </c:pt>
                <c:pt idx="7">
                  <c:v>93.875707876149491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5F-42B1-9332-AFF559841BE2}"/>
            </c:ext>
          </c:extLst>
        </c:ser>
        <c:ser>
          <c:idx val="2"/>
          <c:order val="2"/>
          <c:tx>
            <c:strRef>
              <c:f>'DATA 1320'!$E$42</c:f>
              <c:strCache>
                <c:ptCount val="1"/>
                <c:pt idx="0">
                  <c:v>45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'DATA 1320'!$B$43:$B$50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'DATA 1320'!$E$43:$E$50</c:f>
              <c:numCache>
                <c:formatCode>0.0_);[Red]\(0.0\)</c:formatCode>
                <c:ptCount val="8"/>
                <c:pt idx="0">
                  <c:v>50.197600973276998</c:v>
                </c:pt>
                <c:pt idx="1">
                  <c:v>54.43073281903964</c:v>
                </c:pt>
                <c:pt idx="2">
                  <c:v>58.99470958775219</c:v>
                </c:pt>
                <c:pt idx="3">
                  <c:v>63.907964726844938</c:v>
                </c:pt>
                <c:pt idx="4">
                  <c:v>69.189528485999404</c:v>
                </c:pt>
                <c:pt idx="5">
                  <c:v>74.859040867863513</c:v>
                </c:pt>
                <c:pt idx="6">
                  <c:v>80.936767532765572</c:v>
                </c:pt>
                <c:pt idx="7">
                  <c:v>87.44361918152515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65F-42B1-9332-AFF559841BE2}"/>
            </c:ext>
          </c:extLst>
        </c:ser>
        <c:ser>
          <c:idx val="3"/>
          <c:order val="3"/>
          <c:tx>
            <c:strRef>
              <c:f>'DATA 1320'!$F$42</c:f>
              <c:strCache>
                <c:ptCount val="1"/>
                <c:pt idx="0">
                  <c:v>50 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'DATA 1320'!$B$43:$B$50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'DATA 1320'!$F$43:$F$50</c:f>
              <c:numCache>
                <c:formatCode>0.0_);[Red]\(0.0\)</c:formatCode>
                <c:ptCount val="8"/>
                <c:pt idx="0">
                  <c:v>46.905870304000445</c:v>
                </c:pt>
                <c:pt idx="1">
                  <c:v>50.711812562956887</c:v>
                </c:pt>
                <c:pt idx="2">
                  <c:v>54.815220620740234</c:v>
                </c:pt>
                <c:pt idx="3">
                  <c:v>59.232669668028727</c:v>
                </c:pt>
                <c:pt idx="4">
                  <c:v>63.981271771510336</c:v>
                </c:pt>
                <c:pt idx="5">
                  <c:v>69.078687551830512</c:v>
                </c:pt>
                <c:pt idx="6">
                  <c:v>74.543140520421929</c:v>
                </c:pt>
                <c:pt idx="7">
                  <c:v>80.393434546654802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65F-42B1-9332-AFF559841BE2}"/>
            </c:ext>
          </c:extLst>
        </c:ser>
        <c:ser>
          <c:idx val="4"/>
          <c:order val="4"/>
          <c:tx>
            <c:strRef>
              <c:f>'DATA 1320'!$G$42</c:f>
              <c:strCache>
                <c:ptCount val="1"/>
                <c:pt idx="0">
                  <c:v>55 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numRef>
              <c:f>'DATA 1320'!$B$43:$B$50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'DATA 1320'!$G$43:$G$50</c:f>
              <c:numCache>
                <c:formatCode>0.0_);[Red]\(0.0\)</c:formatCode>
                <c:ptCount val="8"/>
                <c:pt idx="0">
                  <c:v>43.310620137442989</c:v>
                </c:pt>
                <c:pt idx="1">
                  <c:v>46.649983083744353</c:v>
                </c:pt>
                <c:pt idx="2">
                  <c:v>50.250354927133145</c:v>
                </c:pt>
                <c:pt idx="3">
                  <c:v>54.126281257883214</c:v>
                </c:pt>
                <c:pt idx="4">
                  <c:v>58.292779090438081</c:v>
                </c:pt>
                <c:pt idx="5">
                  <c:v>62.765347151233286</c:v>
                </c:pt>
                <c:pt idx="6">
                  <c:v>67.559978503072912</c:v>
                </c:pt>
                <c:pt idx="7">
                  <c:v>72.693175919982508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65F-42B1-9332-AFF559841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254112"/>
        <c:axId val="299254896"/>
      </c:lineChart>
      <c:catAx>
        <c:axId val="2992541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蒸発温度(℃)</a:t>
                </a:r>
              </a:p>
            </c:rich>
          </c:tx>
          <c:layout>
            <c:manualLayout>
              <c:xMode val="edge"/>
              <c:yMode val="edge"/>
              <c:x val="0.44926108374384238"/>
              <c:y val="0.894984326018808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48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9254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  冷凍能力（kcal/h)</a:t>
                </a:r>
              </a:p>
            </c:rich>
          </c:tx>
          <c:layout>
            <c:manualLayout>
              <c:xMode val="edge"/>
              <c:yMode val="edge"/>
              <c:x val="3.5467980295566505E-2"/>
              <c:y val="0.35423197492163011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25411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87027914614122"/>
          <c:y val="0.12852664576802508"/>
          <c:w val="6.3054187192118194E-2"/>
          <c:h val="0.158307210031347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明朝"/>
              <a:ea typeface="明朝"/>
              <a:cs typeface="明朝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明朝"/>
          <a:ea typeface="明朝"/>
          <a:cs typeface="明朝"/>
        </a:defRPr>
      </a:pPr>
      <a:endParaRPr lang="en-US"/>
    </a:p>
  </c:txPr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100" b="1" i="0" u="sng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コンプ定格冷条件に対する　COP</a:t>
            </a:r>
          </a:p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 altLang="en-US" sz="1100" b="1" i="0" u="sng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c:rich>
      </c:tx>
      <c:layout>
        <c:manualLayout>
          <c:xMode val="edge"/>
          <c:yMode val="edge"/>
          <c:x val="0.38020833333333331"/>
          <c:y val="2.02020202020202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958333333333334E-2"/>
          <c:y val="0.14309764309764308"/>
          <c:w val="0.82708333333333328"/>
          <c:h val="0.747474747474747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1320'!$Q$42</c:f>
              <c:strCache>
                <c:ptCount val="1"/>
                <c:pt idx="0">
                  <c:v>35.0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1320'!$P$43:$P$50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'DATA 1320'!$Q$43:$Q$50</c:f>
              <c:numCache>
                <c:formatCode>0.000_ </c:formatCode>
                <c:ptCount val="8"/>
                <c:pt idx="0">
                  <c:v>2.60184218614202</c:v>
                </c:pt>
                <c:pt idx="1">
                  <c:v>2.6995592913268824</c:v>
                </c:pt>
                <c:pt idx="2">
                  <c:v>2.8070585182412588</c:v>
                </c:pt>
                <c:pt idx="3">
                  <c:v>2.9242066012330405</c:v>
                </c:pt>
                <c:pt idx="4">
                  <c:v>3.0509597148180774</c:v>
                </c:pt>
                <c:pt idx="5">
                  <c:v>3.1873464661242381</c:v>
                </c:pt>
                <c:pt idx="6">
                  <c:v>3.3334554900612172</c:v>
                </c:pt>
                <c:pt idx="7">
                  <c:v>3.4894263645268824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C9-4626-96C4-4194AF8258E9}"/>
            </c:ext>
          </c:extLst>
        </c:ser>
        <c:ser>
          <c:idx val="1"/>
          <c:order val="1"/>
          <c:tx>
            <c:strRef>
              <c:f>'DATA 1320'!$R$42</c:f>
              <c:strCache>
                <c:ptCount val="1"/>
                <c:pt idx="0">
                  <c:v>40.0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'DATA 1320'!$P$43:$P$50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'DATA 1320'!$R$43:$R$50</c:f>
              <c:numCache>
                <c:formatCode>0.000_ </c:formatCode>
                <c:ptCount val="8"/>
                <c:pt idx="0">
                  <c:v>2.3514324647767615</c:v>
                </c:pt>
                <c:pt idx="1">
                  <c:v>2.4254583349276952</c:v>
                </c:pt>
                <c:pt idx="2">
                  <c:v>2.5085194293917161</c:v>
                </c:pt>
                <c:pt idx="3">
                  <c:v>2.6003160754040526</c:v>
                </c:pt>
                <c:pt idx="4">
                  <c:v>2.7006588007225631</c:v>
                </c:pt>
                <c:pt idx="5">
                  <c:v>2.8094448490108954</c:v>
                </c:pt>
                <c:pt idx="6">
                  <c:v>2.9266411549414726</c:v>
                </c:pt>
                <c:pt idx="7">
                  <c:v>3.0522718811142169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C9-4626-96C4-4194AF8258E9}"/>
            </c:ext>
          </c:extLst>
        </c:ser>
        <c:ser>
          <c:idx val="2"/>
          <c:order val="2"/>
          <c:tx>
            <c:strRef>
              <c:f>'DATA 1320'!$S$42</c:f>
              <c:strCache>
                <c:ptCount val="1"/>
                <c:pt idx="0">
                  <c:v>45.0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'DATA 1320'!$P$43:$P$50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'DATA 1320'!$S$43:$S$50</c:f>
              <c:numCache>
                <c:formatCode>0.000_ </c:formatCode>
                <c:ptCount val="8"/>
                <c:pt idx="0">
                  <c:v>2.1132944163027521</c:v>
                </c:pt>
                <c:pt idx="1">
                  <c:v>2.16694841492304</c:v>
                </c:pt>
                <c:pt idx="2">
                  <c:v>2.2290736024005908</c:v>
                </c:pt>
                <c:pt idx="3">
                  <c:v>2.2992215994003407</c:v>
                </c:pt>
                <c:pt idx="4">
                  <c:v>2.3770766939967682</c:v>
                </c:pt>
                <c:pt idx="5">
                  <c:v>2.4624253945126684</c:v>
                </c:pt>
                <c:pt idx="6">
                  <c:v>2.5551345601719717</c:v>
                </c:pt>
                <c:pt idx="7">
                  <c:v>2.6551354839899672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C9-4626-96C4-4194AF8258E9}"/>
            </c:ext>
          </c:extLst>
        </c:ser>
        <c:ser>
          <c:idx val="3"/>
          <c:order val="3"/>
          <c:tx>
            <c:strRef>
              <c:f>'DATA 1320'!$T$42</c:f>
              <c:strCache>
                <c:ptCount val="1"/>
                <c:pt idx="0">
                  <c:v>50.0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'DATA 1320'!$P$43:$P$50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'DATA 1320'!$T$43:$T$50</c:f>
              <c:numCache>
                <c:formatCode>0.000_ </c:formatCode>
                <c:ptCount val="8"/>
                <c:pt idx="0">
                  <c:v>1.8851577799102206</c:v>
                </c:pt>
                <c:pt idx="1">
                  <c:v>1.9211248063642721</c:v>
                </c:pt>
                <c:pt idx="2">
                  <c:v>1.9651079489431955</c:v>
                </c:pt>
                <c:pt idx="3">
                  <c:v>2.0165262852652317</c:v>
                </c:pt>
                <c:pt idx="4">
                  <c:v>2.0749544386409187</c:v>
                </c:pt>
                <c:pt idx="5">
                  <c:v>2.1400849295961537</c:v>
                </c:pt>
                <c:pt idx="6">
                  <c:v>2.211701403146058</c:v>
                </c:pt>
                <c:pt idx="7">
                  <c:v>2.2896592890730694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C9-4626-96C4-4194AF8258E9}"/>
            </c:ext>
          </c:extLst>
        </c:ser>
        <c:ser>
          <c:idx val="4"/>
          <c:order val="4"/>
          <c:tx>
            <c:strRef>
              <c:f>'DATA 1320'!$U$42</c:f>
              <c:strCache>
                <c:ptCount val="1"/>
                <c:pt idx="0">
                  <c:v>55.0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'DATA 1320'!$P$43:$P$50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'DATA 1320'!$U$43:$U$50</c:f>
              <c:numCache>
                <c:formatCode>0.000_ </c:formatCode>
                <c:ptCount val="8"/>
                <c:pt idx="0">
                  <c:v>1.6651468216136069</c:v>
                </c:pt>
                <c:pt idx="1">
                  <c:v>1.6856200531105507</c:v>
                </c:pt>
                <c:pt idx="2">
                  <c:v>1.7137139470635079</c:v>
                </c:pt>
                <c:pt idx="3">
                  <c:v>1.7487306438334245</c:v>
                </c:pt>
                <c:pt idx="4">
                  <c:v>1.790150099556149</c:v>
                </c:pt>
                <c:pt idx="5">
                  <c:v>1.8375852445935341</c:v>
                </c:pt>
                <c:pt idx="6">
                  <c:v>1.8907504098592649</c:v>
                </c:pt>
                <c:pt idx="7">
                  <c:v>1.9494386996372937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DC9-4626-96C4-4194AF825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90440"/>
        <c:axId val="299392008"/>
      </c:scatterChart>
      <c:valAx>
        <c:axId val="299390440"/>
        <c:scaling>
          <c:orientation val="minMax"/>
          <c:max val="-18"/>
          <c:min val="-3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蒸発温度　℃</a:t>
                </a:r>
              </a:p>
            </c:rich>
          </c:tx>
          <c:layout>
            <c:manualLayout>
              <c:xMode val="edge"/>
              <c:yMode val="edge"/>
              <c:x val="0.44166666666666665"/>
              <c:y val="0.9444444444444444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2008"/>
        <c:crossesAt val="-32"/>
        <c:crossBetween val="midCat"/>
        <c:majorUnit val="2"/>
        <c:minorUnit val="0.5"/>
      </c:valAx>
      <c:valAx>
        <c:axId val="299392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/>
                  <a:t>COP</a:t>
                </a:r>
              </a:p>
            </c:rich>
          </c:tx>
          <c:layout>
            <c:manualLayout>
              <c:xMode val="edge"/>
              <c:yMode val="edge"/>
              <c:x val="1.1458333333333333E-2"/>
              <c:y val="0.48821548821548821"/>
            </c:manualLayout>
          </c:layout>
          <c:overlay val="0"/>
          <c:spPr>
            <a:noFill/>
            <a:ln w="25400">
              <a:noFill/>
            </a:ln>
          </c:spPr>
        </c:title>
        <c:numFmt formatCode="0.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0440"/>
        <c:crossesAt val="-32"/>
        <c:crossBetween val="midCat"/>
        <c:majorUnit val="0.2"/>
        <c:min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666666666666663"/>
          <c:y val="0.16737675555818332"/>
          <c:w val="6.6666666666666652E-2"/>
          <c:h val="0.170033670033669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+mn-ea"/>
                <a:ea typeface="+mn-ea"/>
                <a:cs typeface="明朝"/>
              </a:defRPr>
            </a:pPr>
            <a:r>
              <a:rPr lang="ja-JP" altLang="en-US" sz="1400">
                <a:latin typeface="+mn-ea"/>
                <a:ea typeface="+mn-ea"/>
              </a:rPr>
              <a:t>冷蔵庫条件　冷凍能力</a:t>
            </a:r>
            <a:r>
              <a:rPr lang="ja-JP" altLang="en-US">
                <a:latin typeface="+mn-ea"/>
                <a:ea typeface="+mn-ea"/>
              </a:rPr>
              <a:t>
 </a:t>
            </a:r>
          </a:p>
        </c:rich>
      </c:tx>
      <c:layout>
        <c:manualLayout>
          <c:xMode val="edge"/>
          <c:yMode val="edge"/>
          <c:x val="0.43229166666666669"/>
          <c:y val="5.22273425499231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16666666666667"/>
          <c:y val="0.11827956989247312"/>
          <c:w val="0.77187499999999998"/>
          <c:h val="0.77265745007680486"/>
        </c:manualLayout>
      </c:layout>
      <c:lineChart>
        <c:grouping val="standard"/>
        <c:varyColors val="0"/>
        <c:ser>
          <c:idx val="0"/>
          <c:order val="0"/>
          <c:tx>
            <c:strRef>
              <c:f>'DATA 1320'!$C$59</c:f>
              <c:strCache>
                <c:ptCount val="1"/>
                <c:pt idx="0">
                  <c:v>35.0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'DATA 1320'!$B$60:$B$67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'DATA 1320'!$C$60:$C$67</c:f>
              <c:numCache>
                <c:formatCode>0.0_ </c:formatCode>
                <c:ptCount val="8"/>
                <c:pt idx="0">
                  <c:v>41.995155655818735</c:v>
                </c:pt>
                <c:pt idx="1">
                  <c:v>46.229556982505635</c:v>
                </c:pt>
                <c:pt idx="2">
                  <c:v>50.847503874198772</c:v>
                </c:pt>
                <c:pt idx="3">
                  <c:v>55.876398756587569</c:v>
                </c:pt>
                <c:pt idx="4">
                  <c:v>61.34508258229333</c:v>
                </c:pt>
                <c:pt idx="5">
                  <c:v>67.283896729222491</c:v>
                </c:pt>
                <c:pt idx="6">
                  <c:v>73.724750395689412</c:v>
                </c:pt>
                <c:pt idx="7">
                  <c:v>80.701194373025942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E86-42DD-925F-564CF3F84778}"/>
            </c:ext>
          </c:extLst>
        </c:ser>
        <c:ser>
          <c:idx val="1"/>
          <c:order val="1"/>
          <c:tx>
            <c:strRef>
              <c:f>'DATA 1320'!$D$59</c:f>
              <c:strCache>
                <c:ptCount val="1"/>
                <c:pt idx="0">
                  <c:v>40.0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'DATA 1320'!$B$60:$B$67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'DATA 1320'!$D$60:$D$67</c:f>
              <c:numCache>
                <c:formatCode>0.0_ </c:formatCode>
                <c:ptCount val="8"/>
                <c:pt idx="0">
                  <c:v>37.949971773502341</c:v>
                </c:pt>
                <c:pt idx="1">
                  <c:v>41.718858845983803</c:v>
                </c:pt>
                <c:pt idx="2">
                  <c:v>45.830274856994748</c:v>
                </c:pt>
                <c:pt idx="3">
                  <c:v>50.30887518523312</c:v>
                </c:pt>
                <c:pt idx="4">
                  <c:v>55.180621022479947</c:v>
                </c:pt>
                <c:pt idx="5">
                  <c:v>60.472835675270083</c:v>
                </c:pt>
                <c:pt idx="6">
                  <c:v>66.214265793053457</c:v>
                </c:pt>
                <c:pt idx="7">
                  <c:v>72.43514831496168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E86-42DD-925F-564CF3F84778}"/>
            </c:ext>
          </c:extLst>
        </c:ser>
        <c:ser>
          <c:idx val="2"/>
          <c:order val="2"/>
          <c:tx>
            <c:strRef>
              <c:f>'DATA 1320'!$E$59</c:f>
              <c:strCache>
                <c:ptCount val="1"/>
                <c:pt idx="0">
                  <c:v>45.0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'DATA 1320'!$B$60:$B$67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'DATA 1320'!$E$60:$E$67</c:f>
              <c:numCache>
                <c:formatCode>0.0_ </c:formatCode>
                <c:ptCount val="8"/>
                <c:pt idx="0">
                  <c:v>33.894238106497198</c:v>
                </c:pt>
                <c:pt idx="1">
                  <c:v>37.195195388826313</c:v>
                </c:pt>
                <c:pt idx="2">
                  <c:v>40.797054001297383</c:v>
                </c:pt>
                <c:pt idx="3">
                  <c:v>44.721649588123633</c:v>
                </c:pt>
                <c:pt idx="4">
                  <c:v>48.991985354788753</c:v>
                </c:pt>
                <c:pt idx="5">
                  <c:v>53.632282521057107</c:v>
                </c:pt>
                <c:pt idx="6">
                  <c:v>58.668035119103024</c:v>
                </c:pt>
                <c:pt idx="7">
                  <c:v>64.126069838032961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E86-42DD-925F-564CF3F84778}"/>
            </c:ext>
          </c:extLst>
        </c:ser>
        <c:ser>
          <c:idx val="3"/>
          <c:order val="3"/>
          <c:tx>
            <c:strRef>
              <c:f>'DATA 1320'!$F$59</c:f>
              <c:strCache>
                <c:ptCount val="1"/>
                <c:pt idx="0">
                  <c:v>50.0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'DATA 1320'!$B$60:$B$67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'DATA 1320'!$F$60:$F$67</c:f>
              <c:numCache>
                <c:formatCode>0.0_ </c:formatCode>
                <c:ptCount val="8"/>
                <c:pt idx="0">
                  <c:v>29.853904562034423</c:v>
                </c:pt>
                <c:pt idx="1">
                  <c:v>32.687827246452009</c:v>
                </c:pt>
                <c:pt idx="2">
                  <c:v>35.780651644383489</c:v>
                </c:pt>
                <c:pt idx="3">
                  <c:v>39.151332773764288</c:v>
                </c:pt>
                <c:pt idx="4">
                  <c:v>42.819849725144742</c:v>
                </c:pt>
                <c:pt idx="5">
                  <c:v>46.8072500242736</c:v>
                </c:pt>
                <c:pt idx="6">
                  <c:v>51.135697750307656</c:v>
                </c:pt>
                <c:pt idx="7">
                  <c:v>55.828526018237682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E86-42DD-925F-564CF3F84778}"/>
            </c:ext>
          </c:extLst>
        </c:ser>
        <c:ser>
          <c:idx val="4"/>
          <c:order val="4"/>
          <c:tx>
            <c:strRef>
              <c:f>'DATA 1320'!$G$59</c:f>
              <c:strCache>
                <c:ptCount val="1"/>
                <c:pt idx="0">
                  <c:v>55.0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numRef>
              <c:f>'DATA 1320'!$B$60:$B$67</c:f>
              <c:numCache>
                <c:formatCode>General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cat>
          <c:val>
            <c:numRef>
              <c:f>'DATA 1320'!$G$60:$G$67</c:f>
              <c:numCache>
                <c:formatCode>0.0_ </c:formatCode>
                <c:ptCount val="8"/>
                <c:pt idx="0">
                  <c:v>25.858669842247359</c:v>
                </c:pt>
                <c:pt idx="1">
                  <c:v>28.230252326074528</c:v>
                </c:pt>
                <c:pt idx="2">
                  <c:v>30.818642536849328</c:v>
                </c:pt>
                <c:pt idx="3">
                  <c:v>33.639868010332009</c:v>
                </c:pt>
                <c:pt idx="4">
                  <c:v>36.710832016429421</c:v>
                </c:pt>
                <c:pt idx="5">
                  <c:v>40.049351603209587</c:v>
                </c:pt>
                <c:pt idx="6">
                  <c:v>43.674198802409414</c:v>
                </c:pt>
                <c:pt idx="7">
                  <c:v>47.605145510965528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E86-42DD-925F-564CF3F84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389264"/>
        <c:axId val="299388872"/>
      </c:lineChart>
      <c:catAx>
        <c:axId val="2993892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+mn-ea"/>
                    <a:ea typeface="+mn-ea"/>
                  </a:rPr>
                  <a:t>蒸発温度(℃)</a:t>
                </a:r>
              </a:p>
            </c:rich>
          </c:tx>
          <c:layout>
            <c:manualLayout>
              <c:xMode val="edge"/>
              <c:yMode val="edge"/>
              <c:x val="0.4375"/>
              <c:y val="0.940092165898617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3888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9388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明朝"/>
                    <a:ea typeface="明朝"/>
                    <a:cs typeface="明朝"/>
                  </a:defRPr>
                </a:pP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+mn-ea"/>
                    <a:ea typeface="+mn-ea"/>
                  </a:rPr>
                  <a:t>冷凍能力(kcal/h</a:t>
                </a: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明朝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0.37788018433179721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明朝"/>
                <a:ea typeface="明朝"/>
                <a:cs typeface="明朝"/>
              </a:defRPr>
            </a:pPr>
            <a:endParaRPr lang="en-US"/>
          </a:p>
        </c:txPr>
        <c:crossAx val="2993892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786746089621216"/>
          <c:y val="0.13568868407578086"/>
          <c:w val="9.9991314821339328E-2"/>
          <c:h val="0.155145929339477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0" b="0" i="0" u="none" strike="noStrike" baseline="0">
              <a:solidFill>
                <a:srgbClr val="000000"/>
              </a:solidFill>
              <a:latin typeface="+mn-ea"/>
              <a:ea typeface="+mn-ea"/>
              <a:cs typeface="明朝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明朝"/>
          <a:ea typeface="明朝"/>
          <a:cs typeface="明朝"/>
        </a:defRPr>
      </a:pPr>
      <a:endParaRPr lang="en-US"/>
    </a:p>
  </c:tx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4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冷蔵庫条件　COP</a:t>
            </a:r>
          </a:p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 altLang="en-US" sz="1100" b="0" i="0" u="sng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c:rich>
      </c:tx>
      <c:layout>
        <c:manualLayout>
          <c:xMode val="edge"/>
          <c:yMode val="edge"/>
          <c:x val="0.37187500000000001"/>
          <c:y val="4.377104377104377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958333333333334E-2"/>
          <c:y val="0.11279461279461279"/>
          <c:w val="0.82708333333333328"/>
          <c:h val="0.777777777777777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1320'!$Q$59</c:f>
              <c:strCache>
                <c:ptCount val="1"/>
                <c:pt idx="0">
                  <c:v>35.0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1320'!$P$60:$P$67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'DATA 1320'!$Q$60:$Q$67</c:f>
              <c:numCache>
                <c:formatCode>0.000_ </c:formatCode>
                <c:ptCount val="8"/>
                <c:pt idx="0">
                  <c:v>1.9535901640064546</c:v>
                </c:pt>
                <c:pt idx="1">
                  <c:v>2.0490049466401898</c:v>
                </c:pt>
                <c:pt idx="2">
                  <c:v>2.1536832137671209</c:v>
                </c:pt>
                <c:pt idx="3">
                  <c:v>2.2677843555718558</c:v>
                </c:pt>
                <c:pt idx="4">
                  <c:v>2.3915375999948436</c:v>
                </c:pt>
                <c:pt idx="5">
                  <c:v>2.5252323864916328</c:v>
                </c:pt>
                <c:pt idx="6">
                  <c:v>2.6692116602211398</c:v>
                </c:pt>
                <c:pt idx="7">
                  <c:v>2.8238673053126093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04-49A2-89C4-4D7D0061CBC2}"/>
            </c:ext>
          </c:extLst>
        </c:ser>
        <c:ser>
          <c:idx val="1"/>
          <c:order val="1"/>
          <c:tx>
            <c:strRef>
              <c:f>'DATA 1320'!$R$59</c:f>
              <c:strCache>
                <c:ptCount val="1"/>
                <c:pt idx="0">
                  <c:v>40.0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'DATA 1320'!$P$60:$P$67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'DATA 1320'!$R$60:$R$67</c:f>
              <c:numCache>
                <c:formatCode>0.000_ </c:formatCode>
                <c:ptCount val="8"/>
                <c:pt idx="0">
                  <c:v>1.6773599604987885</c:v>
                </c:pt>
                <c:pt idx="1">
                  <c:v>1.7499313921394892</c:v>
                </c:pt>
                <c:pt idx="2">
                  <c:v>1.8304442008961626</c:v>
                </c:pt>
                <c:pt idx="3">
                  <c:v>1.9189160231049236</c:v>
                </c:pt>
                <c:pt idx="4">
                  <c:v>2.0154404416681992</c:v>
                </c:pt>
                <c:pt idx="5">
                  <c:v>2.1201738451939254</c:v>
                </c:pt>
                <c:pt idx="6">
                  <c:v>2.2333261367595183</c:v>
                </c:pt>
                <c:pt idx="7">
                  <c:v>2.3551541864033925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04-49A2-89C4-4D7D0061CBC2}"/>
            </c:ext>
          </c:extLst>
        </c:ser>
        <c:ser>
          <c:idx val="2"/>
          <c:order val="2"/>
          <c:tx>
            <c:strRef>
              <c:f>'DATA 1320'!$S$59</c:f>
              <c:strCache>
                <c:ptCount val="1"/>
                <c:pt idx="0">
                  <c:v>45.0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'DATA 1320'!$P$60:$P$67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'DATA 1320'!$S$60:$S$67</c:f>
              <c:numCache>
                <c:formatCode>0.000_ </c:formatCode>
                <c:ptCount val="8"/>
                <c:pt idx="0">
                  <c:v>1.4269308243122687</c:v>
                </c:pt>
                <c:pt idx="1">
                  <c:v>1.4807823726814933</c:v>
                </c:pt>
                <c:pt idx="2">
                  <c:v>1.5414879870666105</c:v>
                </c:pt>
                <c:pt idx="3">
                  <c:v>1.608954112892206</c:v>
                </c:pt>
                <c:pt idx="4">
                  <c:v>1.6831695363130668</c:v>
                </c:pt>
                <c:pt idx="5">
                  <c:v>1.7641889732282661</c:v>
                </c:pt>
                <c:pt idx="6">
                  <c:v>1.8521214607380667</c:v>
                </c:pt>
                <c:pt idx="7">
                  <c:v>1.9471221007255937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04-49A2-89C4-4D7D0061CBC2}"/>
            </c:ext>
          </c:extLst>
        </c:ser>
        <c:ser>
          <c:idx val="3"/>
          <c:order val="3"/>
          <c:tx>
            <c:strRef>
              <c:f>'DATA 1320'!$T$59</c:f>
              <c:strCache>
                <c:ptCount val="1"/>
                <c:pt idx="0">
                  <c:v>50.0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'DATA 1320'!$P$60:$P$67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'DATA 1320'!$T$60:$T$67</c:f>
              <c:numCache>
                <c:formatCode>0.000_ </c:formatCode>
                <c:ptCount val="8"/>
                <c:pt idx="0">
                  <c:v>1.1998353315068231</c:v>
                </c:pt>
                <c:pt idx="1">
                  <c:v>1.2383188968319403</c:v>
                </c:pt>
                <c:pt idx="2">
                  <c:v>1.2827248010407786</c:v>
                </c:pt>
                <c:pt idx="3">
                  <c:v>1.3328741061974365</c:v>
                </c:pt>
                <c:pt idx="4">
                  <c:v>1.3886756982015653</c:v>
                </c:pt>
                <c:pt idx="5">
                  <c:v>1.4501070289968572</c:v>
                </c:pt>
                <c:pt idx="6">
                  <c:v>1.5172005589732833</c:v>
                </c:pt>
                <c:pt idx="7">
                  <c:v>1.590034110543352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04-49A2-89C4-4D7D0061CBC2}"/>
            </c:ext>
          </c:extLst>
        </c:ser>
        <c:ser>
          <c:idx val="4"/>
          <c:order val="4"/>
          <c:tx>
            <c:strRef>
              <c:f>'DATA 1320'!$U$59</c:f>
              <c:strCache>
                <c:ptCount val="1"/>
                <c:pt idx="0">
                  <c:v>55.0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'DATA 1320'!$P$60:$P$67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'DATA 1320'!$U$60:$U$67</c:f>
              <c:numCache>
                <c:formatCode>0.000_ </c:formatCode>
                <c:ptCount val="8"/>
                <c:pt idx="0">
                  <c:v>0.99417837385682717</c:v>
                </c:pt>
                <c:pt idx="1">
                  <c:v>1.0200535194145359</c:v>
                </c:pt>
                <c:pt idx="2">
                  <c:v>1.051024169312798</c:v>
                </c:pt>
                <c:pt idx="3">
                  <c:v>1.0868485082856389</c:v>
                </c:pt>
                <c:pt idx="4">
                  <c:v>1.1273763339888538</c:v>
                </c:pt>
                <c:pt idx="5">
                  <c:v>1.1725275315417463</c:v>
                </c:pt>
                <c:pt idx="6">
                  <c:v>1.2222770213311225</c:v>
                </c:pt>
                <c:pt idx="7">
                  <c:v>1.2766440836632951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604-49A2-89C4-4D7D0061C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90048"/>
        <c:axId val="299392400"/>
      </c:scatterChart>
      <c:valAx>
        <c:axId val="299390048"/>
        <c:scaling>
          <c:orientation val="minMax"/>
          <c:max val="-18"/>
          <c:min val="-3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 sz="1400"/>
                  <a:t>蒸発温度</a:t>
                </a:r>
              </a:p>
            </c:rich>
          </c:tx>
          <c:layout>
            <c:manualLayout>
              <c:xMode val="edge"/>
              <c:yMode val="edge"/>
              <c:x val="0.45416666666666666"/>
              <c:y val="0.9444444444444444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2400"/>
        <c:crosses val="autoZero"/>
        <c:crossBetween val="midCat"/>
        <c:majorUnit val="2"/>
      </c:valAx>
      <c:valAx>
        <c:axId val="299392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/>
                  <a:t>ＣＯＰ</a:t>
                </a:r>
              </a:p>
            </c:rich>
          </c:tx>
          <c:layout>
            <c:manualLayout>
              <c:xMode val="edge"/>
              <c:yMode val="edge"/>
              <c:x val="1.1458333333333333E-2"/>
              <c:y val="0.46969696969696972"/>
            </c:manualLayout>
          </c:layout>
          <c:overlay val="0"/>
          <c:spPr>
            <a:noFill/>
            <a:ln w="25400">
              <a:noFill/>
            </a:ln>
          </c:spPr>
        </c:title>
        <c:numFmt formatCode="0.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99390048"/>
        <c:crossesAt val="-32"/>
        <c:crossBetween val="midCat"/>
        <c:majorUnit val="0.1"/>
        <c:min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251730890558547"/>
          <c:y val="0.15937149270482603"/>
          <c:w val="6.6666666666666652E-2"/>
          <c:h val="0.221661054994388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ja-JP" altLang="en-US" sz="1400"/>
              <a:t>冷蔵庫条件　ＣＯＰ　比較　</a:t>
            </a:r>
            <a:endParaRPr lang="en-US" altLang="ja-JP" sz="1400"/>
          </a:p>
          <a:p>
            <a:pPr>
              <a:defRPr lang="ja-JP"/>
            </a:pPr>
            <a:r>
              <a:rPr lang="ja-JP" altLang="en-US" sz="1400"/>
              <a:t>凝縮温度　５５℃、蒸発温度</a:t>
            </a:r>
            <a:r>
              <a:rPr lang="en-US" altLang="ja-JP" sz="1400"/>
              <a:t>-</a:t>
            </a:r>
            <a:r>
              <a:rPr lang="ja-JP" altLang="en-US" sz="1400"/>
              <a:t>３２℃を１００％とした場合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1320'!$Q$72</c:f>
              <c:strCache>
                <c:ptCount val="1"/>
                <c:pt idx="0">
                  <c:v>35.0</c:v>
                </c:pt>
              </c:strCache>
            </c:strRef>
          </c:tx>
          <c:marker>
            <c:symbol val="none"/>
          </c:marker>
          <c:xVal>
            <c:numRef>
              <c:f>'DATA 1320'!$P$73:$P$80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'DATA 1320'!$Q$73:$Q$80</c:f>
              <c:numCache>
                <c:formatCode>0.0%</c:formatCode>
                <c:ptCount val="8"/>
                <c:pt idx="0">
                  <c:v>1.9650298330546803</c:v>
                </c:pt>
                <c:pt idx="1">
                  <c:v>2.0610033375512447</c:v>
                </c:pt>
                <c:pt idx="2">
                  <c:v>2.1662945708747388</c:v>
                </c:pt>
                <c:pt idx="3">
                  <c:v>2.2810638565534136</c:v>
                </c:pt>
                <c:pt idx="4">
                  <c:v>2.4055417648214221</c:v>
                </c:pt>
                <c:pt idx="5">
                  <c:v>2.5400194300095436</c:v>
                </c:pt>
                <c:pt idx="6">
                  <c:v>2.6848418054661245</c:v>
                </c:pt>
                <c:pt idx="7">
                  <c:v>2.8404030700825502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E6-4086-B4DB-1D09CDBBD118}"/>
            </c:ext>
          </c:extLst>
        </c:ser>
        <c:ser>
          <c:idx val="1"/>
          <c:order val="1"/>
          <c:tx>
            <c:strRef>
              <c:f>'DATA 1320'!$R$72</c:f>
              <c:strCache>
                <c:ptCount val="1"/>
                <c:pt idx="0">
                  <c:v>40.0</c:v>
                </c:pt>
              </c:strCache>
            </c:strRef>
          </c:tx>
          <c:marker>
            <c:symbol val="none"/>
          </c:marker>
          <c:xVal>
            <c:numRef>
              <c:f>'DATA 1320'!$P$73:$P$80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'DATA 1320'!$R$73:$R$80</c:f>
              <c:numCache>
                <c:formatCode>0.0%</c:formatCode>
                <c:ptCount val="8"/>
                <c:pt idx="0">
                  <c:v>1.6871821039433987</c:v>
                </c:pt>
                <c:pt idx="1">
                  <c:v>1.7601784932725755</c:v>
                </c:pt>
                <c:pt idx="2">
                  <c:v>1.8411627621662257</c:v>
                </c:pt>
                <c:pt idx="3">
                  <c:v>1.9301526502338393</c:v>
                </c:pt>
                <c:pt idx="4">
                  <c:v>2.0272422883727357</c:v>
                </c:pt>
                <c:pt idx="5">
                  <c:v>2.1325889809581136</c:v>
                </c:pt>
                <c:pt idx="6">
                  <c:v>2.2464038602001839</c:v>
                </c:pt>
                <c:pt idx="7">
                  <c:v>2.368945300295338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E6-4086-B4DB-1D09CDBBD118}"/>
            </c:ext>
          </c:extLst>
        </c:ser>
        <c:ser>
          <c:idx val="2"/>
          <c:order val="2"/>
          <c:tx>
            <c:strRef>
              <c:f>'DATA 1320'!$S$72</c:f>
              <c:strCache>
                <c:ptCount val="1"/>
                <c:pt idx="0">
                  <c:v>45.0</c:v>
                </c:pt>
              </c:strCache>
            </c:strRef>
          </c:tx>
          <c:marker>
            <c:symbol val="none"/>
          </c:marker>
          <c:xVal>
            <c:numRef>
              <c:f>'DATA 1320'!$P$73:$P$80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'DATA 1320'!$S$73:$S$80</c:f>
              <c:numCache>
                <c:formatCode>0.0%</c:formatCode>
                <c:ptCount val="8"/>
                <c:pt idx="0">
                  <c:v>1.435286525874242</c:v>
                </c:pt>
                <c:pt idx="1">
                  <c:v>1.489453413613222</c:v>
                </c:pt>
                <c:pt idx="2">
                  <c:v>1.550514502831664</c:v>
                </c:pt>
                <c:pt idx="3">
                  <c:v>1.6183756911251355</c:v>
                </c:pt>
                <c:pt idx="4">
                  <c:v>1.6930256989833317</c:v>
                </c:pt>
                <c:pt idx="5">
                  <c:v>1.7745195627060875</c:v>
                </c:pt>
                <c:pt idx="6">
                  <c:v>1.8629669578839512</c:v>
                </c:pt>
                <c:pt idx="7">
                  <c:v>1.9585238946326156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E6-4086-B4DB-1D09CDBBD118}"/>
            </c:ext>
          </c:extLst>
        </c:ser>
        <c:ser>
          <c:idx val="3"/>
          <c:order val="3"/>
          <c:tx>
            <c:strRef>
              <c:f>'DATA 1320'!$T$72</c:f>
              <c:strCache>
                <c:ptCount val="1"/>
                <c:pt idx="0">
                  <c:v>50.0</c:v>
                </c:pt>
              </c:strCache>
            </c:strRef>
          </c:tx>
          <c:marker>
            <c:symbol val="none"/>
          </c:marker>
          <c:xVal>
            <c:numRef>
              <c:f>'DATA 1320'!$P$73:$P$80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'DATA 1320'!$T$73:$T$80</c:f>
              <c:numCache>
                <c:formatCode>0.0%</c:formatCode>
                <c:ptCount val="8"/>
                <c:pt idx="0">
                  <c:v>1.2068612263734604</c:v>
                </c:pt>
                <c:pt idx="1">
                  <c:v>1.2455701405251771</c:v>
                </c:pt>
                <c:pt idx="2">
                  <c:v>1.2902360730947717</c:v>
                </c:pt>
                <c:pt idx="3">
                  <c:v>1.3406790383366207</c:v>
                </c:pt>
                <c:pt idx="4">
                  <c:v>1.3968073886120864</c:v>
                </c:pt>
                <c:pt idx="5">
                  <c:v>1.4585984438298483</c:v>
                </c:pt>
                <c:pt idx="6">
                  <c:v>1.5260848544587002</c:v>
                </c:pt>
                <c:pt idx="7">
                  <c:v>1.5993448986170913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E6-4086-B4DB-1D09CDBBD118}"/>
            </c:ext>
          </c:extLst>
        </c:ser>
        <c:ser>
          <c:idx val="4"/>
          <c:order val="4"/>
          <c:tx>
            <c:strRef>
              <c:f>'DATA 1320'!$U$72</c:f>
              <c:strCache>
                <c:ptCount val="1"/>
                <c:pt idx="0">
                  <c:v>55.0</c:v>
                </c:pt>
              </c:strCache>
            </c:strRef>
          </c:tx>
          <c:marker>
            <c:symbol val="none"/>
          </c:marker>
          <c:xVal>
            <c:numRef>
              <c:f>'DATA 1320'!$P$73:$P$80</c:f>
              <c:numCache>
                <c:formatCode>0_ </c:formatCode>
                <c:ptCount val="8"/>
                <c:pt idx="0">
                  <c:v>-32</c:v>
                </c:pt>
                <c:pt idx="1">
                  <c:v>-30</c:v>
                </c:pt>
                <c:pt idx="2">
                  <c:v>-28</c:v>
                </c:pt>
                <c:pt idx="3">
                  <c:v>-26</c:v>
                </c:pt>
                <c:pt idx="4">
                  <c:v>-24</c:v>
                </c:pt>
                <c:pt idx="5">
                  <c:v>-22</c:v>
                </c:pt>
                <c:pt idx="6">
                  <c:v>-20</c:v>
                </c:pt>
                <c:pt idx="7">
                  <c:v>-18</c:v>
                </c:pt>
              </c:numCache>
            </c:numRef>
          </c:xVal>
          <c:yVal>
            <c:numRef>
              <c:f>'DATA 1320'!$U$73:$U$80</c:f>
              <c:numCache>
                <c:formatCode>0.0%</c:formatCode>
                <c:ptCount val="8"/>
                <c:pt idx="0">
                  <c:v>1</c:v>
                </c:pt>
                <c:pt idx="1">
                  <c:v>1.0260266630597972</c:v>
                </c:pt>
                <c:pt idx="2">
                  <c:v>1.0571786682860969</c:v>
                </c:pt>
                <c:pt idx="3">
                  <c:v>1.0932127844114192</c:v>
                </c:pt>
                <c:pt idx="4">
                  <c:v>1.1339779295492991</c:v>
                </c:pt>
                <c:pt idx="5">
                  <c:v>1.1793935196890568</c:v>
                </c:pt>
                <c:pt idx="6">
                  <c:v>1.2294343283584079</c:v>
                </c:pt>
                <c:pt idx="7">
                  <c:v>1.2841197487636622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E6-4086-B4DB-1D09CDBBD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91616"/>
        <c:axId val="299256072"/>
      </c:scatterChart>
      <c:valAx>
        <c:axId val="299391616"/>
        <c:scaling>
          <c:orientation val="minMax"/>
          <c:max val="-18"/>
          <c:min val="-32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lang="ja-JP" sz="1400"/>
                </a:pPr>
                <a:r>
                  <a:rPr lang="ja-JP" altLang="en-US" sz="1400"/>
                  <a:t>蒸発温度　℃</a:t>
                </a:r>
              </a:p>
            </c:rich>
          </c:tx>
          <c:overlay val="0"/>
        </c:title>
        <c:numFmt formatCode="0_ 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9256072"/>
        <c:crosses val="autoZero"/>
        <c:crossBetween val="midCat"/>
        <c:majorUnit val="2"/>
      </c:valAx>
      <c:valAx>
        <c:axId val="299256072"/>
        <c:scaling>
          <c:orientation val="minMax"/>
          <c:max val="3"/>
          <c:min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 sz="1400"/>
                </a:pPr>
                <a:r>
                  <a:rPr lang="ja-JP" altLang="en-US" sz="1400"/>
                  <a:t>比率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99391616"/>
        <c:crossesAt val="-40"/>
        <c:crossBetween val="midCat"/>
        <c:majorUnit val="0.2"/>
      </c:valAx>
    </c:plotArea>
    <c:legend>
      <c:legendPos val="r"/>
      <c:layout>
        <c:manualLayout>
          <c:xMode val="edge"/>
          <c:yMode val="edge"/>
          <c:x val="0.91434394157381393"/>
          <c:y val="0.21374136212968151"/>
          <c:w val="6.623135520735543E-2"/>
          <c:h val="0.25461996022217742"/>
        </c:manualLayout>
      </c:layout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1.bin"/></Relationships>
</file>

<file path=xl/chart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2.bin"/></Relationships>
</file>

<file path=xl/chart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Graph3"/>
  <sheetViews>
    <sheetView zoomScale="83" workbookViewId="0"/>
    <sheetView zoomScale="83" workbookViewId="1"/>
  </sheetViews>
  <pageMargins left="0.78700000000000003" right="0.78700000000000003" top="0.98399999999999999" bottom="0.98399999999999999" header="0.51200000000000001" footer="0.51200000000000001"/>
  <pageSetup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C77D321-595C-4F77-8111-A4070C71A973}">
  <sheetPr/>
  <sheetViews>
    <sheetView zoomScale="76" workbookViewId="0" zoomToFit="1"/>
    <sheetView zoomScale="76" workbookViewId="1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9CC5E0F-D41B-4BA9-AB6B-0920ECB16B5B}">
  <sheetPr/>
  <sheetViews>
    <sheetView zoomScale="76" workbookViewId="0" zoomToFit="1"/>
    <sheetView zoomScale="76" workbookViewId="1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aph4"/>
  <sheetViews>
    <sheetView zoomScale="83" workbookViewId="0"/>
    <sheetView zoomScale="83" workbookViewId="1"/>
  </sheetViews>
  <pageMargins left="0.78700000000000003" right="0.78700000000000003" top="0.98399999999999999" bottom="0.98399999999999999" header="0.51200000000000001" footer="0.51200000000000001"/>
  <pageSetup orientation="landscape" r:id="rId1"/>
  <headerFooter alignWithMargins="0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Graph5"/>
  <sheetViews>
    <sheetView zoomScale="71" workbookViewId="0" zoomToFit="1"/>
    <sheetView zoomScale="71" workbookViewId="1" zoomToFit="1"/>
  </sheetViews>
  <pageMargins left="0.7" right="0.7" top="0.75" bottom="0.75" header="0.3" footer="0.3"/>
  <pageSetup orientation="landscape" r:id="rId1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/>
  <sheetViews>
    <sheetView zoomScale="76" workbookViewId="0"/>
    <sheetView zoomScale="76" workbookViewId="1"/>
  </sheetViews>
  <pageMargins left="0.37" right="0.21" top="0.83" bottom="0.53" header="0.56999999999999995" footer="0.21"/>
  <pageSetup paperSize="9" orientation="landscape" r:id="rId1"/>
  <headerFooter alignWithMargins="0">
    <oddHeader>&amp;CCQN60L6C</oddHeader>
    <oddFooter>- &amp;P -</oddFooter>
  </headerFooter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2"/>
  <sheetViews>
    <sheetView zoomScale="78" workbookViewId="0"/>
    <sheetView zoomScale="78" workbookViewId="1"/>
  </sheetViews>
  <pageMargins left="0.78700000000000003" right="0.21" top="0.98399999999999999" bottom="0.52" header="0.5" footer="0.23"/>
  <pageSetup paperSize="9" orientation="landscape" horizontalDpi="4294967292" r:id="rId1"/>
  <headerFooter alignWithMargins="0">
    <oddHeader>&amp;CCQN60L6C</oddHeader>
    <oddFooter>- &amp;P -</oddFooter>
  </headerFooter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aph2"/>
  <sheetViews>
    <sheetView zoomScale="83" workbookViewId="0"/>
    <sheetView zoomScale="83" workbookViewId="1"/>
  </sheetViews>
  <pageMargins left="0.78700000000000003" right="0.78700000000000003" top="0.98399999999999999" bottom="0.98399999999999999" header="0.51200000000000001" footer="0.51200000000000001"/>
  <pageSetup orientation="landscape" r:id="rId1"/>
  <headerFooter alignWithMargins="0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3"/>
  <sheetViews>
    <sheetView zoomScale="76" workbookViewId="0"/>
    <sheetView zoomScale="76" workbookViewId="1"/>
  </sheetViews>
  <pageMargins left="0.78700000000000003" right="0.78700000000000003" top="0.8" bottom="0.56999999999999995" header="0.5" footer="0.27"/>
  <pageSetup paperSize="9" orientation="landscape" horizontalDpi="4294967292" r:id="rId1"/>
  <headerFooter alignWithMargins="0">
    <oddHeader>&amp;A</oddHeader>
    <oddFooter>- &amp;P -</oddFooter>
  </headerFooter>
  <drawing r:id="rId2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Graph1"/>
  <sheetViews>
    <sheetView zoomScale="83" workbookViewId="0"/>
    <sheetView zoomScale="83" workbookViewId="1"/>
  </sheetViews>
  <pageMargins left="0.78700000000000003" right="0.78700000000000003" top="0.98399999999999999" bottom="0.98399999999999999" header="0.51200000000000001" footer="0.51200000000000001"/>
  <pageSetup paperSize="9" orientation="landscape" r:id="rId1"/>
  <headerFooter alignWithMargins="0"/>
  <drawing r:id="rId2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aph6"/>
  <sheetViews>
    <sheetView zoomScale="85" workbookViewId="0" zoomToFit="1"/>
    <sheetView zoomScale="85" workbookViewId="1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</xdr:colOff>
          <xdr:row>7</xdr:row>
          <xdr:rowOff>45720</xdr:rowOff>
        </xdr:from>
        <xdr:to>
          <xdr:col>6</xdr:col>
          <xdr:colOff>579120</xdr:colOff>
          <xdr:row>9</xdr:row>
          <xdr:rowOff>76200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DD5CC13C-5314-432B-85C3-8A7193F0A5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</xdr:colOff>
          <xdr:row>7</xdr:row>
          <xdr:rowOff>45720</xdr:rowOff>
        </xdr:from>
        <xdr:to>
          <xdr:col>6</xdr:col>
          <xdr:colOff>579120</xdr:colOff>
          <xdr:row>9</xdr:row>
          <xdr:rowOff>76200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886DD36A-AEDE-4E9B-B1CD-6F9AF82F25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</xdr:colOff>
          <xdr:row>7</xdr:row>
          <xdr:rowOff>45720</xdr:rowOff>
        </xdr:from>
        <xdr:to>
          <xdr:col>6</xdr:col>
          <xdr:colOff>579120</xdr:colOff>
          <xdr:row>9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C8402AC8-5C40-4513-A9F5-CD3FA614D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</xdr:colOff>
          <xdr:row>7</xdr:row>
          <xdr:rowOff>45720</xdr:rowOff>
        </xdr:from>
        <xdr:to>
          <xdr:col>6</xdr:col>
          <xdr:colOff>579120</xdr:colOff>
          <xdr:row>9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501349" cy="58481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0.85646</cdr:x>
      <cdr:y>0.06994</cdr:y>
    </cdr:from>
    <cdr:to>
      <cdr:x>0.96908</cdr:x>
      <cdr:y>0.1122</cdr:y>
    </cdr:to>
    <cdr:sp macro="" textlink="">
      <cdr:nvSpPr>
        <cdr:cNvPr id="2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831463" y="395077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Cond. Temp(℃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273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F8EC5A-1704-0985-72E7-9C1C059EA4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273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D67158-5FB8-BAB9-C16D-7099D4E607A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501349" cy="58481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0.87528</cdr:x>
      <cdr:y>0.05978</cdr:y>
    </cdr:from>
    <cdr:to>
      <cdr:x>0.9879</cdr:x>
      <cdr:y>0.10204</cdr:y>
    </cdr:to>
    <cdr:sp macro="" textlink="">
      <cdr:nvSpPr>
        <cdr:cNvPr id="3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03602" y="337697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Cond Temp(℃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1042" cy="6278451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0.8875</cdr:x>
      <cdr:y>0.03362</cdr:y>
    </cdr:from>
    <cdr:to>
      <cdr:x>1</cdr:x>
      <cdr:y>0.07582</cdr:y>
    </cdr:to>
    <cdr:sp macro="" textlink="">
      <cdr:nvSpPr>
        <cdr:cNvPr id="2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123522" y="190190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Cond Temp(℃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7635240" cy="470916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0.88117</cdr:x>
      <cdr:y>0.0949</cdr:y>
    </cdr:from>
    <cdr:to>
      <cdr:x>0.96358</cdr:x>
      <cdr:y>0.1531</cdr:y>
    </cdr:to>
    <cdr:sp macro="" textlink="">
      <cdr:nvSpPr>
        <cdr:cNvPr id="10241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854744" y="589386"/>
          <a:ext cx="828175" cy="3613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18288" bIns="18288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凝縮温度</a:t>
          </a: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(℃)</a:t>
          </a:r>
        </a:p>
        <a:p xmlns:a="http://schemas.openxmlformats.org/drawingml/2006/main">
          <a:pPr algn="ctr" rtl="0">
            <a:defRPr sz="1000"/>
          </a:pPr>
          <a:endParaRPr lang="en-US" altLang="ja-JP" sz="1100" b="0" i="0" strike="noStrike">
            <a:solidFill>
              <a:srgbClr val="000000"/>
            </a:solidFill>
            <a:latin typeface="明朝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7543800" cy="473964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0.89143</cdr:x>
      <cdr:y>0.03713</cdr:y>
    </cdr:from>
    <cdr:to>
      <cdr:x>0.99193</cdr:x>
      <cdr:y>0.10138</cdr:y>
    </cdr:to>
    <cdr:sp macro="" textlink="">
      <cdr:nvSpPr>
        <cdr:cNvPr id="11265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618277" y="225658"/>
          <a:ext cx="971621" cy="3904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凝縮温度</a:t>
          </a: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(℃</a:t>
          </a: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7056120" cy="485394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0.87528</cdr:x>
      <cdr:y>0.07806</cdr:y>
    </cdr:from>
    <cdr:to>
      <cdr:x>0.9879</cdr:x>
      <cdr:y>0.12032</cdr:y>
    </cdr:to>
    <cdr:sp macro="" textlink="">
      <cdr:nvSpPr>
        <cdr:cNvPr id="2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03601" y="440980"/>
          <a:ext cx="1029771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27432" bIns="18288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凝縮温度</a:t>
          </a:r>
          <a:r>
            <a:rPr lang="en-US" altLang="ja-JP" sz="1100" b="0" i="0" strike="noStrike">
              <a:solidFill>
                <a:srgbClr val="000000"/>
              </a:solidFill>
              <a:latin typeface="明朝"/>
            </a:rPr>
            <a:t>(℃</a:t>
          </a:r>
          <a:r>
            <a:rPr lang="ja-JP" altLang="en-US" sz="1100" b="0" i="0" strike="noStrike">
              <a:solidFill>
                <a:srgbClr val="000000"/>
              </a:solidFill>
              <a:latin typeface="明朝"/>
            </a:rPr>
            <a:t>）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6949440" cy="470916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0.8805</cdr:x>
      <cdr:y>0.05925</cdr:y>
    </cdr:from>
    <cdr:to>
      <cdr:x>0.993</cdr:x>
      <cdr:y>0.09775</cdr:y>
    </cdr:to>
    <cdr:sp macro="" textlink="">
      <cdr:nvSpPr>
        <cdr:cNvPr id="12289" name="テキスト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51292" y="367396"/>
          <a:ext cx="1028700" cy="2387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+mn-ea"/>
              <a:ea typeface="+mn-ea"/>
            </a:rPr>
            <a:t>凝縮温度</a:t>
          </a:r>
          <a:r>
            <a:rPr lang="en-US" altLang="ja-JP" sz="1200" b="0" i="0" strike="noStrike">
              <a:solidFill>
                <a:srgbClr val="000000"/>
              </a:solidFill>
              <a:latin typeface="+mn-ea"/>
              <a:ea typeface="+mn-ea"/>
            </a:rPr>
            <a:t>(℃</a:t>
          </a:r>
          <a:r>
            <a:rPr lang="ja-JP" altLang="en-US" sz="1200" b="0" i="0" strike="noStrike">
              <a:solidFill>
                <a:srgbClr val="000000"/>
              </a:solidFill>
              <a:latin typeface="+mn-ea"/>
              <a:ea typeface="+mn-ea"/>
            </a:rPr>
            <a:t>）</a:t>
          </a: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7581900" cy="46863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0.88136</cdr:x>
      <cdr:y>0.03651</cdr:y>
    </cdr:from>
    <cdr:to>
      <cdr:x>0.97664</cdr:x>
      <cdr:y>0.12981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8067560" y="206565"/>
          <a:ext cx="872169" cy="5278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ja-JP" altLang="en-US" sz="1100"/>
            <a:t>凝縮温度</a:t>
          </a: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7360920" cy="53416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0.89514</cdr:x>
      <cdr:y>0.01925</cdr:y>
    </cdr:from>
    <cdr:to>
      <cdr:x>0.99043</cdr:x>
      <cdr:y>0.11256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8193513" y="108879"/>
          <a:ext cx="872169" cy="5278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ja-JP" altLang="en-US" sz="1200"/>
            <a:t>凝縮温度</a:t>
          </a: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723E5-03A6-4F67-991E-428798400454}">
  <dimension ref="A1:AB43"/>
  <sheetViews>
    <sheetView workbookViewId="0">
      <selection activeCell="A38" sqref="A38:A44"/>
    </sheetView>
    <sheetView tabSelected="1" topLeftCell="A13" workbookViewId="1">
      <selection activeCell="K24" sqref="K24"/>
    </sheetView>
  </sheetViews>
  <sheetFormatPr defaultRowHeight="13.2"/>
  <cols>
    <col min="1" max="1" width="5" bestFit="1" customWidth="1"/>
    <col min="2" max="3" width="19.21875" bestFit="1" customWidth="1"/>
    <col min="4" max="4" width="11" bestFit="1" customWidth="1"/>
    <col min="5" max="5" width="6.5546875" bestFit="1" customWidth="1"/>
    <col min="9" max="9" width="11" bestFit="1" customWidth="1"/>
  </cols>
  <sheetData>
    <row r="1" spans="1:28" ht="15.6">
      <c r="A1" s="237" t="s">
        <v>115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9"/>
      <c r="O1" s="225"/>
      <c r="P1" s="233" t="s">
        <v>103</v>
      </c>
      <c r="Q1" s="233"/>
      <c r="R1" s="233"/>
      <c r="S1" s="233"/>
      <c r="T1" s="233"/>
      <c r="U1" s="233"/>
      <c r="V1" s="233"/>
      <c r="W1" s="233" t="s">
        <v>104</v>
      </c>
      <c r="X1" s="233"/>
      <c r="Y1" s="233"/>
      <c r="Z1" s="233"/>
    </row>
    <row r="2" spans="1:28">
      <c r="A2" s="226" t="s">
        <v>89</v>
      </c>
      <c r="B2" s="226" t="s">
        <v>90</v>
      </c>
      <c r="C2" s="226" t="s">
        <v>91</v>
      </c>
      <c r="D2" s="226" t="s">
        <v>92</v>
      </c>
      <c r="E2" s="226" t="s">
        <v>93</v>
      </c>
      <c r="F2" s="234" t="s">
        <v>94</v>
      </c>
      <c r="G2" s="234" t="s">
        <v>102</v>
      </c>
      <c r="H2" s="234" t="s">
        <v>101</v>
      </c>
      <c r="I2" s="234" t="s">
        <v>96</v>
      </c>
      <c r="J2" s="234" t="s">
        <v>95</v>
      </c>
      <c r="K2" s="234" t="s">
        <v>97</v>
      </c>
      <c r="L2" s="234" t="s">
        <v>98</v>
      </c>
      <c r="M2" s="234" t="s">
        <v>99</v>
      </c>
      <c r="N2" s="234" t="s">
        <v>100</v>
      </c>
      <c r="O2" s="235"/>
      <c r="P2" s="234" t="s">
        <v>105</v>
      </c>
      <c r="Q2" s="234" t="s">
        <v>106</v>
      </c>
      <c r="R2" s="234" t="s">
        <v>107</v>
      </c>
      <c r="S2" s="234" t="s">
        <v>108</v>
      </c>
      <c r="T2" s="234" t="s">
        <v>116</v>
      </c>
      <c r="U2" s="234" t="s">
        <v>109</v>
      </c>
      <c r="V2" s="234" t="s">
        <v>110</v>
      </c>
      <c r="W2" s="234" t="s">
        <v>111</v>
      </c>
      <c r="X2" s="234" t="s">
        <v>112</v>
      </c>
      <c r="Y2" s="234" t="s">
        <v>113</v>
      </c>
      <c r="Z2" s="234" t="s">
        <v>114</v>
      </c>
      <c r="AA2" s="232"/>
      <c r="AB2" s="229"/>
    </row>
    <row r="3" spans="1:28" ht="15.6">
      <c r="A3" s="13">
        <v>4320</v>
      </c>
      <c r="B3" s="227">
        <v>-35</v>
      </c>
      <c r="C3" s="228">
        <v>35</v>
      </c>
      <c r="D3" s="192">
        <v>90.279153313447765</v>
      </c>
      <c r="E3" s="191">
        <v>126.10968735095042</v>
      </c>
      <c r="F3" s="225">
        <f>$A3/MAX($A$3:$A$38)</f>
        <v>1</v>
      </c>
      <c r="G3" s="236">
        <f>$B3-AVERAGE($B$3:$B$38)</f>
        <v>-10</v>
      </c>
      <c r="H3" s="225">
        <f>$C3-AVERAGE($C$3:$C$38)</f>
        <v>-10</v>
      </c>
      <c r="I3" s="225">
        <f>EXP(68.322-4401/($B3+273.16)-9.8436*LN($B3+273.16)+0.0127711*($B3+273.16))</f>
        <v>0.3719233795238876</v>
      </c>
      <c r="J3" s="225">
        <f>EXP(68.322-4401/($C3+273.16)-9.8436*LN($C3+273.16)+0.0127711*($C3+273.16))</f>
        <v>4.7878318380820248</v>
      </c>
      <c r="K3" s="225">
        <f>$J3/$I3</f>
        <v>12.873167167417922</v>
      </c>
      <c r="L3" s="225">
        <f>$K3-AVERAGE($K$3:$K$38)</f>
        <v>1.3418864876436452</v>
      </c>
      <c r="M3" s="225">
        <f>$J3-AVERAGE($J$3:$J$38)</f>
        <v>-1.5318816424989468</v>
      </c>
      <c r="N3" s="225">
        <f>$I3-AVERAGE($I$3:$I$38)</f>
        <v>-0.25279374390413994</v>
      </c>
      <c r="R3" s="231"/>
      <c r="S3" s="230"/>
      <c r="T3" s="230"/>
    </row>
    <row r="4" spans="1:28" ht="15.6">
      <c r="A4" s="13">
        <v>4320</v>
      </c>
      <c r="B4" s="227">
        <v>-25</v>
      </c>
      <c r="C4" s="228">
        <v>35</v>
      </c>
      <c r="D4" s="192">
        <v>121.10874367936796</v>
      </c>
      <c r="E4" s="191">
        <v>188.40392993286375</v>
      </c>
      <c r="F4" s="225">
        <f t="shared" ref="F4:F38" si="0">$A4/MAX($A$3:$A$38)</f>
        <v>1</v>
      </c>
      <c r="G4" s="236">
        <f t="shared" ref="G4:G38" si="1">$B4-AVERAGE($B$3:$B$38)</f>
        <v>0</v>
      </c>
      <c r="H4" s="225">
        <f t="shared" ref="H4:H38" si="2">$C4-AVERAGE($C$3:$C$38)</f>
        <v>-10</v>
      </c>
      <c r="I4" s="225">
        <f t="shared" ref="I4:I38" si="3">EXP(68.322-4401/($B4+273.16)-9.8436*LN($B4+273.16)+0.0127711*($B4+273.16))</f>
        <v>0.59357850212742569</v>
      </c>
      <c r="J4" s="225">
        <f t="shared" ref="J4:J38" si="4">EXP(68.322-4401/($C4+273.16)-9.8436*LN($C4+273.16)+0.0127711*($C4+273.16))</f>
        <v>4.7878318380820248</v>
      </c>
      <c r="K4" s="225">
        <f t="shared" ref="K4:K38" si="5">$J4/$I4</f>
        <v>8.0660465648976682</v>
      </c>
      <c r="L4" s="225">
        <f t="shared" ref="L4:L38" si="6">$K4-AVERAGE($K$3:$K$38)</f>
        <v>-3.4652341148766084</v>
      </c>
      <c r="M4" s="225">
        <f t="shared" ref="M4:M38" si="7">$J4-AVERAGE($J$3:$J$38)</f>
        <v>-1.5318816424989468</v>
      </c>
      <c r="N4" s="225">
        <f t="shared" ref="N4:N38" si="8">$I4-AVERAGE($I$3:$I$38)</f>
        <v>-3.1138621300601854E-2</v>
      </c>
    </row>
    <row r="5" spans="1:28" ht="15.6">
      <c r="A5" s="13">
        <v>4320</v>
      </c>
      <c r="B5" s="227">
        <v>-15</v>
      </c>
      <c r="C5" s="228">
        <v>35</v>
      </c>
      <c r="D5" s="192">
        <v>151.96043043243981</v>
      </c>
      <c r="E5" s="191">
        <v>279.65586850230437</v>
      </c>
      <c r="F5" s="225">
        <f t="shared" si="0"/>
        <v>1</v>
      </c>
      <c r="G5" s="236">
        <f t="shared" si="1"/>
        <v>10</v>
      </c>
      <c r="H5" s="225">
        <f t="shared" si="2"/>
        <v>-10</v>
      </c>
      <c r="I5" s="225">
        <f t="shared" si="3"/>
        <v>0.90864948863276984</v>
      </c>
      <c r="J5" s="225">
        <f t="shared" si="4"/>
        <v>4.7878318380820248</v>
      </c>
      <c r="K5" s="225">
        <f t="shared" si="5"/>
        <v>5.2691735349856383</v>
      </c>
      <c r="L5" s="225">
        <f t="shared" si="6"/>
        <v>-6.2621071447886383</v>
      </c>
      <c r="M5" s="225">
        <f t="shared" si="7"/>
        <v>-1.5318816424989468</v>
      </c>
      <c r="N5" s="225">
        <f t="shared" si="8"/>
        <v>0.2839323652047423</v>
      </c>
    </row>
    <row r="6" spans="1:28" ht="15.6">
      <c r="A6" s="13">
        <v>4320</v>
      </c>
      <c r="B6" s="227">
        <v>-35</v>
      </c>
      <c r="C6" s="228">
        <v>45</v>
      </c>
      <c r="D6" s="192">
        <v>83.401558404979724</v>
      </c>
      <c r="E6" s="191">
        <v>117.49840523466796</v>
      </c>
      <c r="F6" s="225">
        <f t="shared" si="0"/>
        <v>1</v>
      </c>
      <c r="G6" s="236">
        <f t="shared" si="1"/>
        <v>-10</v>
      </c>
      <c r="H6" s="225">
        <f t="shared" si="2"/>
        <v>0</v>
      </c>
      <c r="I6" s="225">
        <f t="shared" si="3"/>
        <v>0.3719233795238876</v>
      </c>
      <c r="J6" s="225">
        <f t="shared" si="4"/>
        <v>6.2233594418684053</v>
      </c>
      <c r="K6" s="225">
        <f t="shared" si="5"/>
        <v>16.732907325791537</v>
      </c>
      <c r="L6" s="225">
        <f t="shared" si="6"/>
        <v>5.2016266460172602</v>
      </c>
      <c r="M6" s="225">
        <f t="shared" si="7"/>
        <v>-9.6354038712566314E-2</v>
      </c>
      <c r="N6" s="225">
        <f t="shared" si="8"/>
        <v>-0.25279374390413994</v>
      </c>
    </row>
    <row r="7" spans="1:28" ht="15.6">
      <c r="A7" s="13">
        <v>4320</v>
      </c>
      <c r="B7" s="227">
        <v>-25</v>
      </c>
      <c r="C7" s="228">
        <v>45</v>
      </c>
      <c r="D7" s="192">
        <v>109.58515150782176</v>
      </c>
      <c r="E7" s="191">
        <v>179.78125306047977</v>
      </c>
      <c r="F7" s="225">
        <f t="shared" si="0"/>
        <v>1</v>
      </c>
      <c r="G7" s="236">
        <f t="shared" si="1"/>
        <v>0</v>
      </c>
      <c r="H7" s="225">
        <f t="shared" si="2"/>
        <v>0</v>
      </c>
      <c r="I7" s="225">
        <f t="shared" si="3"/>
        <v>0.59357850212742569</v>
      </c>
      <c r="J7" s="225">
        <f t="shared" si="4"/>
        <v>6.2233594418684053</v>
      </c>
      <c r="K7" s="225">
        <f t="shared" si="5"/>
        <v>10.484475801538402</v>
      </c>
      <c r="L7" s="225">
        <f t="shared" si="6"/>
        <v>-1.046804878235875</v>
      </c>
      <c r="M7" s="225">
        <f t="shared" si="7"/>
        <v>-9.6354038712566314E-2</v>
      </c>
      <c r="N7" s="225">
        <f t="shared" si="8"/>
        <v>-3.1138621300601854E-2</v>
      </c>
    </row>
    <row r="8" spans="1:28" ht="15.6">
      <c r="A8" s="13">
        <v>4320</v>
      </c>
      <c r="B8" s="227">
        <v>-15</v>
      </c>
      <c r="C8" s="228">
        <v>45</v>
      </c>
      <c r="D8" s="192">
        <v>134.04620086738089</v>
      </c>
      <c r="E8" s="191">
        <v>271.013594675462</v>
      </c>
      <c r="F8" s="225">
        <f t="shared" si="0"/>
        <v>1</v>
      </c>
      <c r="G8" s="236">
        <f t="shared" si="1"/>
        <v>10</v>
      </c>
      <c r="H8" s="225">
        <f t="shared" si="2"/>
        <v>0</v>
      </c>
      <c r="I8" s="225">
        <f t="shared" si="3"/>
        <v>0.90864948863276984</v>
      </c>
      <c r="J8" s="225">
        <f t="shared" si="4"/>
        <v>6.2233594418684053</v>
      </c>
      <c r="K8" s="225">
        <f t="shared" si="5"/>
        <v>6.8490210138483576</v>
      </c>
      <c r="L8" s="225">
        <f t="shared" si="6"/>
        <v>-4.682259665925919</v>
      </c>
      <c r="M8" s="225">
        <f t="shared" si="7"/>
        <v>-9.6354038712566314E-2</v>
      </c>
      <c r="N8" s="225">
        <f t="shared" si="8"/>
        <v>0.2839323652047423</v>
      </c>
    </row>
    <row r="9" spans="1:28" ht="15.6">
      <c r="A9" s="13">
        <v>4320</v>
      </c>
      <c r="B9" s="227">
        <v>-35</v>
      </c>
      <c r="C9" s="228">
        <v>55</v>
      </c>
      <c r="D9" s="192">
        <v>75.827089239062076</v>
      </c>
      <c r="E9" s="191">
        <v>108.87812811532235</v>
      </c>
      <c r="F9" s="225">
        <f t="shared" si="0"/>
        <v>1</v>
      </c>
      <c r="G9" s="236">
        <f t="shared" si="1"/>
        <v>-10</v>
      </c>
      <c r="H9" s="225">
        <f t="shared" si="2"/>
        <v>10</v>
      </c>
      <c r="I9" s="225">
        <f t="shared" si="3"/>
        <v>0.3719233795238876</v>
      </c>
      <c r="J9" s="225">
        <f t="shared" si="4"/>
        <v>7.9479491617924891</v>
      </c>
      <c r="K9" s="225">
        <f t="shared" si="5"/>
        <v>21.369856264392258</v>
      </c>
      <c r="L9" s="225">
        <f t="shared" si="6"/>
        <v>9.8385755846179812</v>
      </c>
      <c r="M9" s="225">
        <f t="shared" si="7"/>
        <v>1.6282356812115175</v>
      </c>
      <c r="N9" s="225">
        <f t="shared" si="8"/>
        <v>-0.25279374390413994</v>
      </c>
    </row>
    <row r="10" spans="1:28" ht="15.6">
      <c r="A10" s="13">
        <v>4320</v>
      </c>
      <c r="B10" s="227">
        <v>-25</v>
      </c>
      <c r="C10" s="228">
        <v>55</v>
      </c>
      <c r="D10" s="192">
        <v>96.895449480026912</v>
      </c>
      <c r="E10" s="191">
        <v>171.1428330195547</v>
      </c>
      <c r="F10" s="225">
        <f t="shared" si="0"/>
        <v>1</v>
      </c>
      <c r="G10" s="236">
        <f t="shared" si="1"/>
        <v>0</v>
      </c>
      <c r="H10" s="225">
        <f t="shared" si="2"/>
        <v>10</v>
      </c>
      <c r="I10" s="225">
        <f t="shared" si="3"/>
        <v>0.59357850212742569</v>
      </c>
      <c r="J10" s="225">
        <f t="shared" si="4"/>
        <v>7.9479491617924891</v>
      </c>
      <c r="K10" s="225">
        <f t="shared" si="5"/>
        <v>13.389887156132675</v>
      </c>
      <c r="L10" s="225">
        <f t="shared" si="6"/>
        <v>1.858606476358398</v>
      </c>
      <c r="M10" s="225">
        <f t="shared" si="7"/>
        <v>1.6282356812115175</v>
      </c>
      <c r="N10" s="225">
        <f t="shared" si="8"/>
        <v>-3.1138621300601854E-2</v>
      </c>
    </row>
    <row r="11" spans="1:28" ht="15.6">
      <c r="A11" s="13">
        <v>4320</v>
      </c>
      <c r="B11" s="227">
        <v>-15</v>
      </c>
      <c r="C11" s="228">
        <v>55</v>
      </c>
      <c r="D11" s="192">
        <v>114.49662584727415</v>
      </c>
      <c r="E11" s="191">
        <v>262.34882951460065</v>
      </c>
      <c r="F11" s="225">
        <f t="shared" si="0"/>
        <v>1</v>
      </c>
      <c r="G11" s="236">
        <f t="shared" si="1"/>
        <v>10</v>
      </c>
      <c r="H11" s="225">
        <f t="shared" si="2"/>
        <v>10</v>
      </c>
      <c r="I11" s="225">
        <f t="shared" si="3"/>
        <v>0.90864948863276984</v>
      </c>
      <c r="J11" s="225">
        <f t="shared" si="4"/>
        <v>7.9479491617924891</v>
      </c>
      <c r="K11" s="225">
        <f t="shared" si="5"/>
        <v>8.7469912889640646</v>
      </c>
      <c r="L11" s="225">
        <f t="shared" si="6"/>
        <v>-2.784289390810212</v>
      </c>
      <c r="M11" s="225">
        <f t="shared" si="7"/>
        <v>1.6282356812115175</v>
      </c>
      <c r="N11" s="225">
        <f t="shared" si="8"/>
        <v>0.2839323652047423</v>
      </c>
    </row>
    <row r="12" spans="1:28" ht="15.6">
      <c r="A12" s="13">
        <v>3000</v>
      </c>
      <c r="B12" s="227">
        <v>-35</v>
      </c>
      <c r="C12" s="228">
        <v>35</v>
      </c>
      <c r="D12" s="192">
        <v>53.288893500674192</v>
      </c>
      <c r="E12" s="191">
        <v>101.67976645399402</v>
      </c>
      <c r="F12" s="225">
        <f t="shared" si="0"/>
        <v>0.69444444444444442</v>
      </c>
      <c r="G12" s="236">
        <f t="shared" si="1"/>
        <v>-10</v>
      </c>
      <c r="H12" s="225">
        <f t="shared" si="2"/>
        <v>-10</v>
      </c>
      <c r="I12" s="225">
        <f t="shared" si="3"/>
        <v>0.3719233795238876</v>
      </c>
      <c r="J12" s="225">
        <f t="shared" si="4"/>
        <v>4.7878318380820248</v>
      </c>
      <c r="K12" s="225">
        <f t="shared" si="5"/>
        <v>12.873167167417922</v>
      </c>
      <c r="L12" s="225">
        <f t="shared" si="6"/>
        <v>1.3418864876436452</v>
      </c>
      <c r="M12" s="225">
        <f t="shared" si="7"/>
        <v>-1.5318816424989468</v>
      </c>
      <c r="N12" s="225">
        <f t="shared" si="8"/>
        <v>-0.25279374390413994</v>
      </c>
    </row>
    <row r="13" spans="1:28" ht="15.6">
      <c r="A13" s="13">
        <v>3000</v>
      </c>
      <c r="B13" s="227">
        <v>-25</v>
      </c>
      <c r="C13" s="228">
        <v>35</v>
      </c>
      <c r="D13" s="192">
        <v>68.095074462929205</v>
      </c>
      <c r="E13" s="191">
        <v>150.06645720366623</v>
      </c>
      <c r="F13" s="225">
        <f t="shared" si="0"/>
        <v>0.69444444444444442</v>
      </c>
      <c r="G13" s="236">
        <f t="shared" si="1"/>
        <v>0</v>
      </c>
      <c r="H13" s="225">
        <f t="shared" si="2"/>
        <v>-10</v>
      </c>
      <c r="I13" s="225">
        <f t="shared" si="3"/>
        <v>0.59357850212742569</v>
      </c>
      <c r="J13" s="225">
        <f t="shared" si="4"/>
        <v>4.7878318380820248</v>
      </c>
      <c r="K13" s="225">
        <f t="shared" si="5"/>
        <v>8.0660465648976682</v>
      </c>
      <c r="L13" s="225">
        <f t="shared" si="6"/>
        <v>-3.4652341148766084</v>
      </c>
      <c r="M13" s="225">
        <f t="shared" si="7"/>
        <v>-1.5318816424989468</v>
      </c>
      <c r="N13" s="225">
        <f t="shared" si="8"/>
        <v>-3.1138621300601854E-2</v>
      </c>
    </row>
    <row r="14" spans="1:28" ht="15.6">
      <c r="A14" s="13">
        <v>3000</v>
      </c>
      <c r="B14" s="227">
        <v>-15</v>
      </c>
      <c r="C14" s="228">
        <v>35</v>
      </c>
      <c r="D14" s="192">
        <v>80.464627644164096</v>
      </c>
      <c r="E14" s="191">
        <v>220.94586995295271</v>
      </c>
      <c r="F14" s="225">
        <f t="shared" si="0"/>
        <v>0.69444444444444442</v>
      </c>
      <c r="G14" s="236">
        <f t="shared" si="1"/>
        <v>10</v>
      </c>
      <c r="H14" s="225">
        <f t="shared" si="2"/>
        <v>-10</v>
      </c>
      <c r="I14" s="225">
        <f t="shared" si="3"/>
        <v>0.90864948863276984</v>
      </c>
      <c r="J14" s="225">
        <f t="shared" si="4"/>
        <v>4.7878318380820248</v>
      </c>
      <c r="K14" s="225">
        <f t="shared" si="5"/>
        <v>5.2691735349856383</v>
      </c>
      <c r="L14" s="225">
        <f t="shared" si="6"/>
        <v>-6.2621071447886383</v>
      </c>
      <c r="M14" s="225">
        <f t="shared" si="7"/>
        <v>-1.5318816424989468</v>
      </c>
      <c r="N14" s="225">
        <f t="shared" si="8"/>
        <v>0.2839323652047423</v>
      </c>
    </row>
    <row r="15" spans="1:28" ht="15.6">
      <c r="A15" s="13">
        <v>3000</v>
      </c>
      <c r="B15" s="227">
        <v>-35</v>
      </c>
      <c r="C15" s="228">
        <v>45</v>
      </c>
      <c r="D15" s="192">
        <v>58.611992207973564</v>
      </c>
      <c r="E15" s="191">
        <v>93.071003135765352</v>
      </c>
      <c r="F15" s="225">
        <f t="shared" si="0"/>
        <v>0.69444444444444442</v>
      </c>
      <c r="G15" s="236">
        <f t="shared" si="1"/>
        <v>-10</v>
      </c>
      <c r="H15" s="225">
        <f t="shared" si="2"/>
        <v>0</v>
      </c>
      <c r="I15" s="225">
        <f t="shared" si="3"/>
        <v>0.3719233795238876</v>
      </c>
      <c r="J15" s="225">
        <f t="shared" si="4"/>
        <v>6.2233594418684053</v>
      </c>
      <c r="K15" s="225">
        <f t="shared" si="5"/>
        <v>16.732907325791537</v>
      </c>
      <c r="L15" s="225">
        <f t="shared" si="6"/>
        <v>5.2016266460172602</v>
      </c>
      <c r="M15" s="225">
        <f t="shared" si="7"/>
        <v>-9.6354038712566314E-2</v>
      </c>
      <c r="N15" s="225">
        <f t="shared" si="8"/>
        <v>-0.25279374390413994</v>
      </c>
    </row>
    <row r="16" spans="1:28" ht="15.6">
      <c r="A16" s="13">
        <v>3000</v>
      </c>
      <c r="B16" s="227">
        <v>-25</v>
      </c>
      <c r="C16" s="228">
        <v>45</v>
      </c>
      <c r="D16" s="192">
        <v>77.012997947800315</v>
      </c>
      <c r="E16" s="191">
        <v>141.44884307488428</v>
      </c>
      <c r="F16" s="225">
        <f t="shared" si="0"/>
        <v>0.69444444444444442</v>
      </c>
      <c r="G16" s="236">
        <f t="shared" si="1"/>
        <v>0</v>
      </c>
      <c r="H16" s="225">
        <f t="shared" si="2"/>
        <v>0</v>
      </c>
      <c r="I16" s="225">
        <f t="shared" si="3"/>
        <v>0.59357850212742569</v>
      </c>
      <c r="J16" s="225">
        <f t="shared" si="4"/>
        <v>6.2233594418684053</v>
      </c>
      <c r="K16" s="225">
        <f t="shared" si="5"/>
        <v>10.484475801538402</v>
      </c>
      <c r="L16" s="225">
        <f t="shared" si="6"/>
        <v>-1.046804878235875</v>
      </c>
      <c r="M16" s="225">
        <f t="shared" si="7"/>
        <v>-9.6354038712566314E-2</v>
      </c>
      <c r="N16" s="225">
        <f t="shared" si="8"/>
        <v>-3.1138621300601854E-2</v>
      </c>
    </row>
    <row r="17" spans="1:14" ht="15.6">
      <c r="A17" s="13">
        <v>3000</v>
      </c>
      <c r="B17" s="227">
        <v>-15</v>
      </c>
      <c r="C17" s="228">
        <v>45</v>
      </c>
      <c r="D17" s="192">
        <v>94.203454120088495</v>
      </c>
      <c r="E17" s="191">
        <v>212.31303400373096</v>
      </c>
      <c r="F17" s="225">
        <f t="shared" si="0"/>
        <v>0.69444444444444442</v>
      </c>
      <c r="G17" s="236">
        <f t="shared" si="1"/>
        <v>10</v>
      </c>
      <c r="H17" s="225">
        <f t="shared" si="2"/>
        <v>0</v>
      </c>
      <c r="I17" s="225">
        <f t="shared" si="3"/>
        <v>0.90864948863276984</v>
      </c>
      <c r="J17" s="225">
        <f t="shared" si="4"/>
        <v>6.2233594418684053</v>
      </c>
      <c r="K17" s="225">
        <f t="shared" si="5"/>
        <v>6.8490210138483576</v>
      </c>
      <c r="L17" s="225">
        <f t="shared" si="6"/>
        <v>-4.682259665925919</v>
      </c>
      <c r="M17" s="225">
        <f t="shared" si="7"/>
        <v>-9.6354038712566314E-2</v>
      </c>
      <c r="N17" s="225">
        <f t="shared" si="8"/>
        <v>0.2839323652047423</v>
      </c>
    </row>
    <row r="18" spans="1:14" ht="15.6">
      <c r="A18" s="13">
        <v>3000</v>
      </c>
      <c r="B18" s="227">
        <v>-35</v>
      </c>
      <c r="C18" s="228">
        <v>55</v>
      </c>
      <c r="D18" s="192">
        <v>63.445349604334389</v>
      </c>
      <c r="E18" s="191">
        <v>84.455253001203857</v>
      </c>
      <c r="F18" s="225">
        <f t="shared" si="0"/>
        <v>0.69444444444444442</v>
      </c>
      <c r="G18" s="236">
        <f t="shared" si="1"/>
        <v>-10</v>
      </c>
      <c r="H18" s="225">
        <f t="shared" si="2"/>
        <v>10</v>
      </c>
      <c r="I18" s="225">
        <f t="shared" si="3"/>
        <v>0.3719233795238876</v>
      </c>
      <c r="J18" s="225">
        <f t="shared" si="4"/>
        <v>7.9479491617924891</v>
      </c>
      <c r="K18" s="225">
        <f t="shared" si="5"/>
        <v>21.369856264392258</v>
      </c>
      <c r="L18" s="225">
        <f t="shared" si="6"/>
        <v>9.8385755846179812</v>
      </c>
      <c r="M18" s="225">
        <f t="shared" si="7"/>
        <v>1.6282356812115175</v>
      </c>
      <c r="N18" s="225">
        <f t="shared" si="8"/>
        <v>-0.25279374390413994</v>
      </c>
    </row>
    <row r="19" spans="1:14" ht="15.6">
      <c r="A19" s="13">
        <v>3000</v>
      </c>
      <c r="B19" s="227">
        <v>-25</v>
      </c>
      <c r="C19" s="228">
        <v>55</v>
      </c>
      <c r="D19" s="192">
        <v>85.111416100694257</v>
      </c>
      <c r="E19" s="191">
        <v>132.81900053146808</v>
      </c>
      <c r="F19" s="225">
        <f t="shared" si="0"/>
        <v>0.69444444444444442</v>
      </c>
      <c r="G19" s="236">
        <f t="shared" si="1"/>
        <v>0</v>
      </c>
      <c r="H19" s="225">
        <f t="shared" si="2"/>
        <v>10</v>
      </c>
      <c r="I19" s="225">
        <f t="shared" si="3"/>
        <v>0.59357850212742569</v>
      </c>
      <c r="J19" s="225">
        <f t="shared" si="4"/>
        <v>7.9479491617924891</v>
      </c>
      <c r="K19" s="225">
        <f t="shared" si="5"/>
        <v>13.389887156132675</v>
      </c>
      <c r="L19" s="225">
        <f t="shared" si="6"/>
        <v>1.858606476358398</v>
      </c>
      <c r="M19" s="225">
        <f t="shared" si="7"/>
        <v>1.6282356812115175</v>
      </c>
      <c r="N19" s="225">
        <f t="shared" si="8"/>
        <v>-3.1138621300601854E-2</v>
      </c>
    </row>
    <row r="20" spans="1:14" ht="15.6">
      <c r="A20" s="13">
        <v>3000</v>
      </c>
      <c r="B20" s="227">
        <v>-15</v>
      </c>
      <c r="C20" s="228">
        <v>55</v>
      </c>
      <c r="D20" s="192">
        <v>106.79301124299701</v>
      </c>
      <c r="E20" s="191">
        <v>203.66272804157356</v>
      </c>
      <c r="F20" s="225">
        <f t="shared" si="0"/>
        <v>0.69444444444444442</v>
      </c>
      <c r="G20" s="236">
        <f t="shared" si="1"/>
        <v>10</v>
      </c>
      <c r="H20" s="225">
        <f t="shared" si="2"/>
        <v>10</v>
      </c>
      <c r="I20" s="225">
        <f t="shared" si="3"/>
        <v>0.90864948863276984</v>
      </c>
      <c r="J20" s="225">
        <f t="shared" si="4"/>
        <v>7.9479491617924891</v>
      </c>
      <c r="K20" s="225">
        <f t="shared" si="5"/>
        <v>8.7469912889640646</v>
      </c>
      <c r="L20" s="225">
        <f t="shared" si="6"/>
        <v>-2.784289390810212</v>
      </c>
      <c r="M20" s="225">
        <f t="shared" si="7"/>
        <v>1.6282356812115175</v>
      </c>
      <c r="N20" s="225">
        <f t="shared" si="8"/>
        <v>0.2839323652047423</v>
      </c>
    </row>
    <row r="21" spans="1:14" ht="15.6">
      <c r="A21" s="13">
        <v>1620</v>
      </c>
      <c r="B21" s="227">
        <v>-35</v>
      </c>
      <c r="C21" s="228">
        <v>35</v>
      </c>
      <c r="D21" s="192">
        <v>28.399470188982054</v>
      </c>
      <c r="E21" s="191">
        <v>61.981144996439937</v>
      </c>
      <c r="F21" s="225">
        <f t="shared" si="0"/>
        <v>0.375</v>
      </c>
      <c r="G21" s="236">
        <f t="shared" si="1"/>
        <v>-10</v>
      </c>
      <c r="H21" s="225">
        <f t="shared" si="2"/>
        <v>-10</v>
      </c>
      <c r="I21" s="225">
        <f t="shared" si="3"/>
        <v>0.3719233795238876</v>
      </c>
      <c r="J21" s="225">
        <f t="shared" si="4"/>
        <v>4.7878318380820248</v>
      </c>
      <c r="K21" s="225">
        <f t="shared" si="5"/>
        <v>12.873167167417922</v>
      </c>
      <c r="L21" s="225">
        <f t="shared" si="6"/>
        <v>1.3418864876436452</v>
      </c>
      <c r="M21" s="225">
        <f t="shared" si="7"/>
        <v>-1.5318816424989468</v>
      </c>
      <c r="N21" s="225">
        <f t="shared" si="8"/>
        <v>-0.25279374390413994</v>
      </c>
    </row>
    <row r="22" spans="1:14" ht="15.6">
      <c r="A22" s="13">
        <v>1620</v>
      </c>
      <c r="B22" s="227">
        <v>-25</v>
      </c>
      <c r="C22" s="228">
        <v>35</v>
      </c>
      <c r="D22" s="192">
        <v>36.29018938443533</v>
      </c>
      <c r="E22" s="191">
        <v>87.768064018720324</v>
      </c>
      <c r="F22" s="225">
        <f t="shared" si="0"/>
        <v>0.375</v>
      </c>
      <c r="G22" s="236">
        <f t="shared" si="1"/>
        <v>0</v>
      </c>
      <c r="H22" s="225">
        <f t="shared" si="2"/>
        <v>-10</v>
      </c>
      <c r="I22" s="225">
        <f t="shared" si="3"/>
        <v>0.59357850212742569</v>
      </c>
      <c r="J22" s="225">
        <f t="shared" si="4"/>
        <v>4.7878318380820248</v>
      </c>
      <c r="K22" s="225">
        <f t="shared" si="5"/>
        <v>8.0660465648976682</v>
      </c>
      <c r="L22" s="225">
        <f t="shared" si="6"/>
        <v>-3.4652341148766084</v>
      </c>
      <c r="M22" s="225">
        <f t="shared" si="7"/>
        <v>-1.5318816424989468</v>
      </c>
      <c r="N22" s="225">
        <f t="shared" si="8"/>
        <v>-3.1138621300601854E-2</v>
      </c>
    </row>
    <row r="23" spans="1:14" ht="15.6">
      <c r="A23" s="13">
        <v>1620</v>
      </c>
      <c r="B23" s="227">
        <v>-15</v>
      </c>
      <c r="C23" s="228">
        <v>35</v>
      </c>
      <c r="D23" s="192">
        <v>42.882346469045537</v>
      </c>
      <c r="E23" s="191">
        <v>125.54212231025623</v>
      </c>
      <c r="F23" s="225">
        <f t="shared" si="0"/>
        <v>0.375</v>
      </c>
      <c r="G23" s="236">
        <f t="shared" si="1"/>
        <v>10</v>
      </c>
      <c r="H23" s="225">
        <f t="shared" si="2"/>
        <v>-10</v>
      </c>
      <c r="I23" s="225">
        <f t="shared" si="3"/>
        <v>0.90864948863276984</v>
      </c>
      <c r="J23" s="225">
        <f t="shared" si="4"/>
        <v>4.7878318380820248</v>
      </c>
      <c r="K23" s="225">
        <f t="shared" si="5"/>
        <v>5.2691735349856383</v>
      </c>
      <c r="L23" s="225">
        <f t="shared" si="6"/>
        <v>-6.2621071447886383</v>
      </c>
      <c r="M23" s="225">
        <f t="shared" si="7"/>
        <v>-1.5318816424989468</v>
      </c>
      <c r="N23" s="225">
        <f t="shared" si="8"/>
        <v>0.2839323652047423</v>
      </c>
    </row>
    <row r="24" spans="1:14" ht="15.6">
      <c r="A24" s="13">
        <v>1620</v>
      </c>
      <c r="B24" s="227">
        <v>-35</v>
      </c>
      <c r="C24" s="228">
        <v>45</v>
      </c>
      <c r="D24" s="192">
        <v>31.236331176704478</v>
      </c>
      <c r="E24" s="191">
        <v>53.376474725048595</v>
      </c>
      <c r="F24" s="225">
        <f t="shared" si="0"/>
        <v>0.375</v>
      </c>
      <c r="G24" s="236">
        <f t="shared" si="1"/>
        <v>-10</v>
      </c>
      <c r="H24" s="225">
        <f t="shared" si="2"/>
        <v>0</v>
      </c>
      <c r="I24" s="225">
        <f t="shared" si="3"/>
        <v>0.3719233795238876</v>
      </c>
      <c r="J24" s="225">
        <f t="shared" si="4"/>
        <v>6.2233594418684053</v>
      </c>
      <c r="K24" s="225">
        <f t="shared" si="5"/>
        <v>16.732907325791537</v>
      </c>
      <c r="L24" s="225">
        <f t="shared" si="6"/>
        <v>5.2016266460172602</v>
      </c>
      <c r="M24" s="225">
        <f t="shared" si="7"/>
        <v>-9.6354038712566314E-2</v>
      </c>
      <c r="N24" s="225">
        <f t="shared" si="8"/>
        <v>-0.25279374390413994</v>
      </c>
    </row>
    <row r="25" spans="1:14" ht="15.6">
      <c r="A25" s="13">
        <v>1620</v>
      </c>
      <c r="B25" s="227">
        <v>-25</v>
      </c>
      <c r="C25" s="228">
        <v>45</v>
      </c>
      <c r="D25" s="192">
        <v>41.0428551937379</v>
      </c>
      <c r="E25" s="191">
        <v>79.15867684829162</v>
      </c>
      <c r="F25" s="225">
        <f t="shared" si="0"/>
        <v>0.375</v>
      </c>
      <c r="G25" s="236">
        <f t="shared" si="1"/>
        <v>0</v>
      </c>
      <c r="H25" s="225">
        <f t="shared" si="2"/>
        <v>0</v>
      </c>
      <c r="I25" s="225">
        <f t="shared" si="3"/>
        <v>0.59357850212742569</v>
      </c>
      <c r="J25" s="225">
        <f t="shared" si="4"/>
        <v>6.2233594418684053</v>
      </c>
      <c r="K25" s="225">
        <f t="shared" si="5"/>
        <v>10.484475801538402</v>
      </c>
      <c r="L25" s="225">
        <f t="shared" si="6"/>
        <v>-1.046804878235875</v>
      </c>
      <c r="M25" s="225">
        <f t="shared" si="7"/>
        <v>-9.6354038712566314E-2</v>
      </c>
      <c r="N25" s="225">
        <f t="shared" si="8"/>
        <v>-3.1138621300601854E-2</v>
      </c>
    </row>
    <row r="26" spans="1:14" ht="15.6">
      <c r="A26" s="13">
        <v>1620</v>
      </c>
      <c r="B26" s="227">
        <v>-15</v>
      </c>
      <c r="C26" s="228">
        <v>45</v>
      </c>
      <c r="D26" s="192">
        <v>50.204236028071115</v>
      </c>
      <c r="E26" s="191">
        <v>116.92462291216799</v>
      </c>
      <c r="F26" s="225">
        <f t="shared" si="0"/>
        <v>0.375</v>
      </c>
      <c r="G26" s="236">
        <f t="shared" si="1"/>
        <v>10</v>
      </c>
      <c r="H26" s="225">
        <f t="shared" si="2"/>
        <v>0</v>
      </c>
      <c r="I26" s="225">
        <f t="shared" si="3"/>
        <v>0.90864948863276984</v>
      </c>
      <c r="J26" s="225">
        <f t="shared" si="4"/>
        <v>6.2233594418684053</v>
      </c>
      <c r="K26" s="225">
        <f t="shared" si="5"/>
        <v>6.8490210138483576</v>
      </c>
      <c r="L26" s="225">
        <f t="shared" si="6"/>
        <v>-4.682259665925919</v>
      </c>
      <c r="M26" s="225">
        <f t="shared" si="7"/>
        <v>-9.6354038712566314E-2</v>
      </c>
      <c r="N26" s="225">
        <f t="shared" si="8"/>
        <v>0.2839323652047423</v>
      </c>
    </row>
    <row r="27" spans="1:14" ht="15.6">
      <c r="A27" s="13">
        <v>1620</v>
      </c>
      <c r="B27" s="227">
        <v>-35</v>
      </c>
      <c r="C27" s="228">
        <v>55</v>
      </c>
      <c r="D27" s="192">
        <v>33.812192304106354</v>
      </c>
      <c r="E27" s="191">
        <v>44.768080940761337</v>
      </c>
      <c r="F27" s="225">
        <f t="shared" si="0"/>
        <v>0.375</v>
      </c>
      <c r="G27" s="236">
        <f t="shared" si="1"/>
        <v>-10</v>
      </c>
      <c r="H27" s="225">
        <f t="shared" si="2"/>
        <v>10</v>
      </c>
      <c r="I27" s="225">
        <f t="shared" si="3"/>
        <v>0.3719233795238876</v>
      </c>
      <c r="J27" s="225">
        <f t="shared" si="4"/>
        <v>7.9479491617924891</v>
      </c>
      <c r="K27" s="225">
        <f t="shared" si="5"/>
        <v>21.369856264392258</v>
      </c>
      <c r="L27" s="225">
        <f t="shared" si="6"/>
        <v>9.8385755846179812</v>
      </c>
      <c r="M27" s="225">
        <f t="shared" si="7"/>
        <v>1.6282356812115175</v>
      </c>
      <c r="N27" s="225">
        <f t="shared" si="8"/>
        <v>-0.25279374390413994</v>
      </c>
    </row>
    <row r="28" spans="1:14" ht="15.6">
      <c r="A28" s="13">
        <v>1620</v>
      </c>
      <c r="B28" s="227">
        <v>-25</v>
      </c>
      <c r="C28" s="228">
        <v>55</v>
      </c>
      <c r="D28" s="192">
        <v>45.358778640489753</v>
      </c>
      <c r="E28" s="191">
        <v>70.542772738327301</v>
      </c>
      <c r="F28" s="225">
        <f t="shared" si="0"/>
        <v>0.375</v>
      </c>
      <c r="G28" s="236">
        <f t="shared" si="1"/>
        <v>0</v>
      </c>
      <c r="H28" s="225">
        <f t="shared" si="2"/>
        <v>10</v>
      </c>
      <c r="I28" s="225">
        <f t="shared" si="3"/>
        <v>0.59357850212742569</v>
      </c>
      <c r="J28" s="225">
        <f t="shared" si="4"/>
        <v>7.9479491617924891</v>
      </c>
      <c r="K28" s="225">
        <f t="shared" si="5"/>
        <v>13.389887156132675</v>
      </c>
      <c r="L28" s="225">
        <f t="shared" si="6"/>
        <v>1.858606476358398</v>
      </c>
      <c r="M28" s="225">
        <f t="shared" si="7"/>
        <v>1.6282356812115175</v>
      </c>
      <c r="N28" s="225">
        <f t="shared" si="8"/>
        <v>-3.1138621300601854E-2</v>
      </c>
    </row>
    <row r="29" spans="1:14" ht="15.6">
      <c r="A29" s="13">
        <v>1620</v>
      </c>
      <c r="B29" s="227">
        <v>-15</v>
      </c>
      <c r="C29" s="228">
        <v>55</v>
      </c>
      <c r="D29" s="192">
        <v>56.913640722315776</v>
      </c>
      <c r="E29" s="191">
        <v>108.29781314790446</v>
      </c>
      <c r="F29" s="225">
        <f t="shared" si="0"/>
        <v>0.375</v>
      </c>
      <c r="G29" s="236">
        <f t="shared" si="1"/>
        <v>10</v>
      </c>
      <c r="H29" s="225">
        <f t="shared" si="2"/>
        <v>10</v>
      </c>
      <c r="I29" s="225">
        <f t="shared" si="3"/>
        <v>0.90864948863276984</v>
      </c>
      <c r="J29" s="225">
        <f t="shared" si="4"/>
        <v>7.9479491617924891</v>
      </c>
      <c r="K29" s="225">
        <f t="shared" si="5"/>
        <v>8.7469912889640646</v>
      </c>
      <c r="L29" s="225">
        <f t="shared" si="6"/>
        <v>-2.784289390810212</v>
      </c>
      <c r="M29" s="225">
        <f t="shared" si="7"/>
        <v>1.6282356812115175</v>
      </c>
      <c r="N29" s="225">
        <f t="shared" si="8"/>
        <v>0.2839323652047423</v>
      </c>
    </row>
    <row r="30" spans="1:14" ht="15.6">
      <c r="A30" s="13">
        <v>1320</v>
      </c>
      <c r="B30" s="227">
        <v>-35</v>
      </c>
      <c r="C30" s="228">
        <v>35</v>
      </c>
      <c r="D30" s="192">
        <v>22.974852287715816</v>
      </c>
      <c r="E30" s="191">
        <v>53.328881345434553</v>
      </c>
      <c r="F30" s="225">
        <f t="shared" si="0"/>
        <v>0.30555555555555558</v>
      </c>
      <c r="G30" s="236">
        <f t="shared" si="1"/>
        <v>-10</v>
      </c>
      <c r="H30" s="225">
        <f t="shared" si="2"/>
        <v>-10</v>
      </c>
      <c r="I30" s="225">
        <f t="shared" si="3"/>
        <v>0.3719233795238876</v>
      </c>
      <c r="J30" s="225">
        <f t="shared" si="4"/>
        <v>4.7878318380820248</v>
      </c>
      <c r="K30" s="225">
        <f t="shared" si="5"/>
        <v>12.873167167417922</v>
      </c>
      <c r="L30" s="225">
        <f t="shared" si="6"/>
        <v>1.3418864876436452</v>
      </c>
      <c r="M30" s="225">
        <f t="shared" si="7"/>
        <v>-1.5318816424989468</v>
      </c>
      <c r="N30" s="225">
        <f t="shared" si="8"/>
        <v>-0.25279374390413994</v>
      </c>
    </row>
    <row r="31" spans="1:14" ht="15.6">
      <c r="A31" s="13">
        <v>1320</v>
      </c>
      <c r="B31" s="227">
        <v>-25</v>
      </c>
      <c r="C31" s="228">
        <v>35</v>
      </c>
      <c r="D31" s="192">
        <v>29.358355457071273</v>
      </c>
      <c r="E31" s="191">
        <v>74.190209093796227</v>
      </c>
      <c r="F31" s="225">
        <f t="shared" si="0"/>
        <v>0.30555555555555558</v>
      </c>
      <c r="G31" s="236">
        <f t="shared" si="1"/>
        <v>0</v>
      </c>
      <c r="H31" s="225">
        <f t="shared" si="2"/>
        <v>-10</v>
      </c>
      <c r="I31" s="225">
        <f t="shared" si="3"/>
        <v>0.59357850212742569</v>
      </c>
      <c r="J31" s="225">
        <f t="shared" si="4"/>
        <v>4.7878318380820248</v>
      </c>
      <c r="K31" s="225">
        <f t="shared" si="5"/>
        <v>8.0660465648976682</v>
      </c>
      <c r="L31" s="225">
        <f t="shared" si="6"/>
        <v>-3.4652341148766084</v>
      </c>
      <c r="M31" s="225">
        <f t="shared" si="7"/>
        <v>-1.5318816424989468</v>
      </c>
      <c r="N31" s="225">
        <f t="shared" si="8"/>
        <v>-3.1138621300601854E-2</v>
      </c>
    </row>
    <row r="32" spans="1:14" ht="15.6">
      <c r="A32" s="13">
        <v>1320</v>
      </c>
      <c r="B32" s="227">
        <v>-15</v>
      </c>
      <c r="C32" s="228">
        <v>35</v>
      </c>
      <c r="D32" s="192">
        <v>34.6913364693402</v>
      </c>
      <c r="E32" s="191">
        <v>104.74899782402751</v>
      </c>
      <c r="F32" s="225">
        <f t="shared" si="0"/>
        <v>0.30555555555555558</v>
      </c>
      <c r="G32" s="236">
        <f t="shared" si="1"/>
        <v>10</v>
      </c>
      <c r="H32" s="225">
        <f t="shared" si="2"/>
        <v>-10</v>
      </c>
      <c r="I32" s="225">
        <f t="shared" si="3"/>
        <v>0.90864948863276984</v>
      </c>
      <c r="J32" s="225">
        <f t="shared" si="4"/>
        <v>4.7878318380820248</v>
      </c>
      <c r="K32" s="225">
        <f t="shared" si="5"/>
        <v>5.2691735349856383</v>
      </c>
      <c r="L32" s="225">
        <f t="shared" si="6"/>
        <v>-6.2621071447886383</v>
      </c>
      <c r="M32" s="225">
        <f t="shared" si="7"/>
        <v>-1.5318816424989468</v>
      </c>
      <c r="N32" s="225">
        <f t="shared" si="8"/>
        <v>0.2839323652047423</v>
      </c>
    </row>
    <row r="33" spans="1:14" ht="15.6">
      <c r="A33" s="13">
        <v>1320</v>
      </c>
      <c r="B33" s="227">
        <v>-35</v>
      </c>
      <c r="C33" s="228">
        <v>45</v>
      </c>
      <c r="D33" s="192">
        <v>25.269840951940697</v>
      </c>
      <c r="E33" s="191">
        <v>44.725103148353924</v>
      </c>
      <c r="F33" s="225">
        <f t="shared" si="0"/>
        <v>0.30555555555555558</v>
      </c>
      <c r="G33" s="236">
        <f t="shared" si="1"/>
        <v>-10</v>
      </c>
      <c r="H33" s="225">
        <f t="shared" si="2"/>
        <v>0</v>
      </c>
      <c r="I33" s="225">
        <f t="shared" si="3"/>
        <v>0.3719233795238876</v>
      </c>
      <c r="J33" s="225">
        <f t="shared" si="4"/>
        <v>6.2233594418684053</v>
      </c>
      <c r="K33" s="225">
        <f t="shared" si="5"/>
        <v>16.732907325791537</v>
      </c>
      <c r="L33" s="225">
        <f t="shared" si="6"/>
        <v>5.2016266460172602</v>
      </c>
      <c r="M33" s="225">
        <f t="shared" si="7"/>
        <v>-9.6354038712566314E-2</v>
      </c>
      <c r="N33" s="225">
        <f t="shared" si="8"/>
        <v>-0.25279374390413994</v>
      </c>
    </row>
    <row r="34" spans="1:14" ht="15.6">
      <c r="A34" s="13">
        <v>1320</v>
      </c>
      <c r="B34" s="227">
        <v>-25</v>
      </c>
      <c r="C34" s="228">
        <v>45</v>
      </c>
      <c r="D34" s="192">
        <v>33.203208696057622</v>
      </c>
      <c r="E34" s="191">
        <v>65.582614978393224</v>
      </c>
      <c r="F34" s="225">
        <f t="shared" si="0"/>
        <v>0.30555555555555558</v>
      </c>
      <c r="G34" s="236">
        <f t="shared" si="1"/>
        <v>0</v>
      </c>
      <c r="H34" s="225">
        <f t="shared" si="2"/>
        <v>0</v>
      </c>
      <c r="I34" s="225">
        <f t="shared" si="3"/>
        <v>0.59357850212742569</v>
      </c>
      <c r="J34" s="225">
        <f t="shared" si="4"/>
        <v>6.2233594418684053</v>
      </c>
      <c r="K34" s="225">
        <f t="shared" si="5"/>
        <v>10.484475801538402</v>
      </c>
      <c r="L34" s="225">
        <f t="shared" si="6"/>
        <v>-1.046804878235875</v>
      </c>
      <c r="M34" s="225">
        <f t="shared" si="7"/>
        <v>-9.6354038712566314E-2</v>
      </c>
      <c r="N34" s="225">
        <f t="shared" si="8"/>
        <v>-3.1138621300601854E-2</v>
      </c>
    </row>
    <row r="35" spans="1:14" ht="15.6">
      <c r="A35" s="13">
        <v>1320</v>
      </c>
      <c r="B35" s="227">
        <v>-15</v>
      </c>
      <c r="C35" s="228">
        <v>45</v>
      </c>
      <c r="D35" s="192">
        <v>40.614662854169886</v>
      </c>
      <c r="E35" s="191">
        <v>96.134841007596592</v>
      </c>
      <c r="F35" s="225">
        <f t="shared" si="0"/>
        <v>0.30555555555555558</v>
      </c>
      <c r="G35" s="236">
        <f t="shared" si="1"/>
        <v>10</v>
      </c>
      <c r="H35" s="225">
        <f t="shared" si="2"/>
        <v>0</v>
      </c>
      <c r="I35" s="225">
        <f t="shared" si="3"/>
        <v>0.90864948863276984</v>
      </c>
      <c r="J35" s="225">
        <f t="shared" si="4"/>
        <v>6.2233594418684053</v>
      </c>
      <c r="K35" s="225">
        <f t="shared" si="5"/>
        <v>6.8490210138483576</v>
      </c>
      <c r="L35" s="225">
        <f t="shared" si="6"/>
        <v>-4.682259665925919</v>
      </c>
      <c r="M35" s="225">
        <f t="shared" si="7"/>
        <v>-9.6354038712566314E-2</v>
      </c>
      <c r="N35" s="225">
        <f t="shared" si="8"/>
        <v>0.2839323652047423</v>
      </c>
    </row>
    <row r="36" spans="1:14" ht="15.6">
      <c r="A36" s="13">
        <v>1320</v>
      </c>
      <c r="B36" s="227">
        <v>-35</v>
      </c>
      <c r="C36" s="228">
        <v>55</v>
      </c>
      <c r="D36" s="192">
        <v>27.353683661748953</v>
      </c>
      <c r="E36" s="191">
        <v>36.118312671177719</v>
      </c>
      <c r="F36" s="225">
        <f t="shared" si="0"/>
        <v>0.30555555555555558</v>
      </c>
      <c r="G36" s="236">
        <f t="shared" si="1"/>
        <v>-10</v>
      </c>
      <c r="H36" s="225">
        <f t="shared" si="2"/>
        <v>10</v>
      </c>
      <c r="I36" s="225">
        <f t="shared" si="3"/>
        <v>0.3719233795238876</v>
      </c>
      <c r="J36" s="225">
        <f t="shared" si="4"/>
        <v>7.9479491617924891</v>
      </c>
      <c r="K36" s="225">
        <f t="shared" si="5"/>
        <v>21.369856264392258</v>
      </c>
      <c r="L36" s="225">
        <f t="shared" si="6"/>
        <v>9.8385755846179812</v>
      </c>
      <c r="M36" s="225">
        <f t="shared" si="7"/>
        <v>1.6282356812115175</v>
      </c>
      <c r="N36" s="225">
        <f t="shared" si="8"/>
        <v>-0.25279374390413994</v>
      </c>
    </row>
    <row r="37" spans="1:14" ht="15.6">
      <c r="A37" s="13">
        <v>1320</v>
      </c>
      <c r="B37" s="227">
        <v>-25</v>
      </c>
      <c r="C37" s="228">
        <v>55</v>
      </c>
      <c r="D37" s="192">
        <v>36.694742270957995</v>
      </c>
      <c r="E37" s="191">
        <v>56.969748732129958</v>
      </c>
      <c r="F37" s="225">
        <f t="shared" si="0"/>
        <v>0.30555555555555558</v>
      </c>
      <c r="G37" s="236">
        <f t="shared" si="1"/>
        <v>0</v>
      </c>
      <c r="H37" s="225">
        <f t="shared" si="2"/>
        <v>10</v>
      </c>
      <c r="I37" s="225">
        <f t="shared" si="3"/>
        <v>0.59357850212742569</v>
      </c>
      <c r="J37" s="225">
        <f t="shared" si="4"/>
        <v>7.9479491617924891</v>
      </c>
      <c r="K37" s="225">
        <f t="shared" si="5"/>
        <v>13.389887156132675</v>
      </c>
      <c r="L37" s="225">
        <f t="shared" si="6"/>
        <v>1.858606476358398</v>
      </c>
      <c r="M37" s="225">
        <f t="shared" si="7"/>
        <v>1.6282356812115175</v>
      </c>
      <c r="N37" s="225">
        <f t="shared" si="8"/>
        <v>-3.1138621300601854E-2</v>
      </c>
    </row>
    <row r="38" spans="1:14" ht="15.6">
      <c r="A38" s="13">
        <v>1320</v>
      </c>
      <c r="B38" s="227">
        <v>-15</v>
      </c>
      <c r="C38" s="228">
        <v>55</v>
      </c>
      <c r="D38" s="192">
        <v>46.042495865244213</v>
      </c>
      <c r="E38" s="191">
        <v>87.513152209540692</v>
      </c>
      <c r="F38" s="225">
        <f t="shared" si="0"/>
        <v>0.30555555555555558</v>
      </c>
      <c r="G38" s="236">
        <f t="shared" si="1"/>
        <v>10</v>
      </c>
      <c r="H38" s="225">
        <f t="shared" si="2"/>
        <v>10</v>
      </c>
      <c r="I38" s="225">
        <f t="shared" si="3"/>
        <v>0.90864948863276984</v>
      </c>
      <c r="J38" s="225">
        <f t="shared" si="4"/>
        <v>7.9479491617924891</v>
      </c>
      <c r="K38" s="225">
        <f t="shared" si="5"/>
        <v>8.7469912889640646</v>
      </c>
      <c r="L38" s="225">
        <f t="shared" si="6"/>
        <v>-2.784289390810212</v>
      </c>
      <c r="M38" s="225">
        <f t="shared" si="7"/>
        <v>1.6282356812115175</v>
      </c>
      <c r="N38" s="225">
        <f t="shared" si="8"/>
        <v>0.2839323652047423</v>
      </c>
    </row>
    <row r="39" spans="1:14" ht="14.4">
      <c r="A39" s="224"/>
    </row>
    <row r="40" spans="1:14" ht="14.4">
      <c r="A40" s="223"/>
    </row>
    <row r="41" spans="1:14" ht="14.4">
      <c r="A41" s="223"/>
    </row>
    <row r="42" spans="1:14" ht="14.4">
      <c r="A42" s="223"/>
    </row>
    <row r="43" spans="1:14" ht="14.4">
      <c r="A43" s="223"/>
    </row>
  </sheetData>
  <mergeCells count="3">
    <mergeCell ref="W1:Z1"/>
    <mergeCell ref="P1:V1"/>
    <mergeCell ref="A1:N1"/>
  </mergeCells>
  <conditionalFormatting sqref="D1:E1048576">
    <cfRule type="duplicateValues" dxfId="0" priority="1"/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470D6-75F7-4821-86D1-B4E33F9E12B8}">
  <dimension ref="A1:K8"/>
  <sheetViews>
    <sheetView workbookViewId="0">
      <selection activeCell="C5" sqref="C5:C8"/>
    </sheetView>
    <sheetView workbookViewId="1">
      <selection sqref="A1:B1"/>
    </sheetView>
  </sheetViews>
  <sheetFormatPr defaultRowHeight="13.2"/>
  <sheetData>
    <row r="1" spans="1:11" ht="14.4">
      <c r="A1" s="199" t="s">
        <v>43</v>
      </c>
      <c r="B1" s="200"/>
      <c r="C1" s="11">
        <v>9</v>
      </c>
      <c r="D1" s="12" t="s">
        <v>1</v>
      </c>
    </row>
    <row r="2" spans="1:11">
      <c r="D2" t="s">
        <v>73</v>
      </c>
      <c r="G2" t="s">
        <v>74</v>
      </c>
    </row>
    <row r="3" spans="1:11">
      <c r="D3" t="s">
        <v>79</v>
      </c>
      <c r="G3" t="s">
        <v>80</v>
      </c>
    </row>
    <row r="4" spans="1:11" ht="14.4">
      <c r="C4" s="223" t="s">
        <v>44</v>
      </c>
      <c r="D4" s="223" t="s">
        <v>81</v>
      </c>
      <c r="E4" s="223" t="s">
        <v>83</v>
      </c>
      <c r="F4" s="223" t="s">
        <v>85</v>
      </c>
      <c r="G4" s="223" t="s">
        <v>82</v>
      </c>
      <c r="H4" s="223" t="s">
        <v>84</v>
      </c>
      <c r="I4" s="223" t="s">
        <v>86</v>
      </c>
      <c r="J4" s="223" t="s">
        <v>87</v>
      </c>
      <c r="K4" s="223" t="s">
        <v>88</v>
      </c>
    </row>
    <row r="5" spans="1:11" ht="14.4">
      <c r="C5" s="223">
        <v>4320</v>
      </c>
      <c r="D5" s="223">
        <v>0.85831634581564931</v>
      </c>
      <c r="E5" s="223">
        <v>3.8447109291242982E-3</v>
      </c>
      <c r="F5" s="223">
        <v>-3.0173812758234782E-2</v>
      </c>
      <c r="G5" s="223">
        <v>44.910880106252201</v>
      </c>
      <c r="H5" s="223">
        <v>-0.5028658067897056</v>
      </c>
      <c r="I5" s="223">
        <v>2.7070531629051189</v>
      </c>
      <c r="J5" s="223">
        <v>5.7529351276943273E-2</v>
      </c>
      <c r="K5" s="223">
        <v>-8.6127187164136559E-3</v>
      </c>
    </row>
    <row r="6" spans="1:11" ht="14.4">
      <c r="C6" s="223">
        <v>3000</v>
      </c>
      <c r="D6" s="223">
        <v>1.0179879378091299</v>
      </c>
      <c r="E6" s="223">
        <v>5.0613299830939472E-3</v>
      </c>
      <c r="F6" s="223">
        <v>-4.255924038512534E-2</v>
      </c>
      <c r="G6" s="223">
        <v>31.561954059164169</v>
      </c>
      <c r="H6" s="223">
        <v>-0.35339827352025893</v>
      </c>
      <c r="I6" s="223">
        <v>1.9024318241192311</v>
      </c>
      <c r="J6" s="223">
        <v>4.0429818737930598E-2</v>
      </c>
      <c r="K6" s="223">
        <v>-6.0527478376901853E-3</v>
      </c>
    </row>
    <row r="7" spans="1:11" ht="14.4">
      <c r="C7" s="223">
        <v>1620</v>
      </c>
      <c r="D7" s="223">
        <v>1.2291816435932468</v>
      </c>
      <c r="E7" s="223">
        <v>7.9432733916129285E-3</v>
      </c>
      <c r="F7" s="223">
        <v>-7.6132007697566756E-2</v>
      </c>
      <c r="G7" s="223">
        <v>16.820442582430172</v>
      </c>
      <c r="H7" s="223">
        <v>-0.18833800205562351</v>
      </c>
      <c r="I7" s="223">
        <v>1.0138708523749043</v>
      </c>
      <c r="J7" s="223">
        <v>2.154643034536366E-2</v>
      </c>
      <c r="K7" s="223">
        <v>-3.225715913498425E-3</v>
      </c>
    </row>
    <row r="8" spans="1:11" ht="14.4">
      <c r="C8" s="223">
        <v>1320</v>
      </c>
      <c r="D8" s="223">
        <v>1.3330776041252375</v>
      </c>
      <c r="E8" s="223">
        <v>9.3661805150682901E-3</v>
      </c>
      <c r="F8" s="223">
        <v>-9.2717508984207636E-2</v>
      </c>
      <c r="G8" s="223">
        <v>13.607549055446825</v>
      </c>
      <c r="H8" s="223">
        <v>-0.15236332750582937</v>
      </c>
      <c r="I8" s="223">
        <v>0.82021012776398305</v>
      </c>
      <c r="J8" s="223">
        <v>1.7430820054676634E-2</v>
      </c>
      <c r="K8" s="223">
        <v>-2.6095679300238771E-3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C2117-3C2E-49DA-8F2A-A0F69AFF9589}">
  <sheetPr codeName="Sheet3"/>
  <dimension ref="A1:U110"/>
  <sheetViews>
    <sheetView showGridLines="0" topLeftCell="A7" zoomScaleNormal="100" workbookViewId="0">
      <selection activeCell="E14" sqref="E14:E16"/>
    </sheetView>
    <sheetView workbookViewId="1"/>
  </sheetViews>
  <sheetFormatPr defaultRowHeight="14.4"/>
  <cols>
    <col min="1" max="1" width="10.44140625" style="1" customWidth="1"/>
    <col min="2" max="2" width="9.6640625" style="1" customWidth="1"/>
    <col min="3" max="3" width="14.44140625" style="1" bestFit="1" customWidth="1"/>
    <col min="4" max="4" width="9.109375" style="1" bestFit="1" customWidth="1"/>
    <col min="5" max="5" width="13" style="1" bestFit="1" customWidth="1"/>
    <col min="6" max="6" width="9.21875" style="1" customWidth="1"/>
    <col min="7" max="7" width="9.88671875" style="1" customWidth="1"/>
    <col min="8" max="8" width="9.6640625" style="1" customWidth="1"/>
    <col min="9" max="9" width="9.109375" style="1" bestFit="1" customWidth="1"/>
    <col min="10" max="10" width="9.6640625" style="1" bestFit="1" customWidth="1"/>
    <col min="11" max="11" width="8" style="1" customWidth="1"/>
    <col min="12" max="14" width="9.109375" style="1" bestFit="1" customWidth="1"/>
    <col min="15" max="15" width="13.109375" style="1" customWidth="1"/>
    <col min="16" max="16" width="9" style="1" customWidth="1"/>
    <col min="17" max="17" width="9.77734375" style="1" customWidth="1"/>
    <col min="18" max="18" width="8.44140625" style="1" customWidth="1"/>
    <col min="19" max="20" width="9.109375" style="1" bestFit="1" customWidth="1"/>
    <col min="21" max="16384" width="8.88671875" style="1"/>
  </cols>
  <sheetData>
    <row r="1" spans="1:21">
      <c r="B1" s="2" t="s">
        <v>61</v>
      </c>
      <c r="C1" s="3"/>
      <c r="D1" s="3"/>
      <c r="E1" s="3"/>
      <c r="F1" s="4"/>
    </row>
    <row r="2" spans="1:21">
      <c r="N2" s="1" t="s">
        <v>73</v>
      </c>
      <c r="Q2" s="1" t="s">
        <v>74</v>
      </c>
    </row>
    <row r="3" spans="1:21">
      <c r="B3" s="5" t="s">
        <v>62</v>
      </c>
      <c r="C3" s="6"/>
      <c r="D3" s="208" t="s">
        <v>26</v>
      </c>
      <c r="E3" s="209"/>
      <c r="F3" s="7">
        <v>2</v>
      </c>
      <c r="G3" s="1" t="s">
        <v>57</v>
      </c>
      <c r="H3" s="8"/>
      <c r="I3" s="9"/>
      <c r="K3" s="10" t="s">
        <v>64</v>
      </c>
      <c r="N3" s="1" t="s">
        <v>35</v>
      </c>
      <c r="Q3" s="1" t="s">
        <v>36</v>
      </c>
    </row>
    <row r="4" spans="1:21">
      <c r="B4" s="199" t="s">
        <v>43</v>
      </c>
      <c r="C4" s="200"/>
      <c r="D4" s="11">
        <v>9</v>
      </c>
      <c r="E4" s="12" t="s">
        <v>1</v>
      </c>
      <c r="G4" s="8" t="s">
        <v>49</v>
      </c>
      <c r="H4" s="8"/>
      <c r="N4" s="13" t="s">
        <v>27</v>
      </c>
      <c r="O4" s="14">
        <f>B21</f>
        <v>0.85831634581564931</v>
      </c>
      <c r="Q4" s="15" t="s">
        <v>30</v>
      </c>
      <c r="R4" s="210">
        <f>B22</f>
        <v>44.910880106252201</v>
      </c>
      <c r="S4" s="210"/>
    </row>
    <row r="5" spans="1:21">
      <c r="B5" s="16" t="s">
        <v>44</v>
      </c>
      <c r="C5" s="17"/>
      <c r="D5" s="11">
        <v>4320</v>
      </c>
      <c r="E5" s="12" t="s">
        <v>3</v>
      </c>
      <c r="G5" s="5" t="s">
        <v>48</v>
      </c>
      <c r="H5" s="6"/>
      <c r="I5" s="18">
        <v>183.82025385210324</v>
      </c>
      <c r="J5" s="19" t="s">
        <v>0</v>
      </c>
      <c r="K5" s="20">
        <f>I5/0.86</f>
        <v>213.74448122337586</v>
      </c>
      <c r="L5" s="21" t="s">
        <v>19</v>
      </c>
      <c r="N5" s="13" t="s">
        <v>28</v>
      </c>
      <c r="O5" s="22">
        <f>C21</f>
        <v>3.8447109291242982E-3</v>
      </c>
      <c r="Q5" s="15" t="s">
        <v>31</v>
      </c>
      <c r="R5" s="215">
        <f>C22</f>
        <v>-0.5028658067897056</v>
      </c>
      <c r="S5" s="216"/>
    </row>
    <row r="6" spans="1:21">
      <c r="B6" s="23" t="s">
        <v>45</v>
      </c>
      <c r="C6" s="17"/>
      <c r="D6" s="11">
        <v>3</v>
      </c>
      <c r="E6" s="12" t="s">
        <v>58</v>
      </c>
      <c r="G6" s="24" t="s">
        <v>50</v>
      </c>
      <c r="H6" s="25"/>
      <c r="I6" s="26">
        <v>126.29598327198588</v>
      </c>
      <c r="J6" s="21" t="s">
        <v>2</v>
      </c>
      <c r="N6" s="13" t="s">
        <v>29</v>
      </c>
      <c r="O6" s="27">
        <f>E21</f>
        <v>-3.0173812758234782E-2</v>
      </c>
      <c r="Q6" s="15" t="s">
        <v>32</v>
      </c>
      <c r="R6" s="217">
        <f>E22</f>
        <v>2.7070531629051189</v>
      </c>
      <c r="S6" s="218"/>
    </row>
    <row r="7" spans="1:21">
      <c r="B7" s="23" t="s">
        <v>46</v>
      </c>
      <c r="C7" s="17"/>
      <c r="D7" s="11">
        <v>3</v>
      </c>
      <c r="E7" s="12" t="s">
        <v>58</v>
      </c>
      <c r="G7" s="5" t="s">
        <v>4</v>
      </c>
      <c r="H7" s="6"/>
      <c r="I7" s="28">
        <f>I5/I6/0.86</f>
        <v>1.6924091779155357</v>
      </c>
      <c r="J7" s="21"/>
      <c r="Q7" s="15" t="s">
        <v>34</v>
      </c>
      <c r="R7" s="219">
        <f>G22</f>
        <v>5.7529351276943273E-2</v>
      </c>
      <c r="S7" s="220"/>
    </row>
    <row r="8" spans="1:21">
      <c r="B8" s="29" t="s">
        <v>47</v>
      </c>
      <c r="C8" s="25"/>
      <c r="D8" s="30">
        <v>9</v>
      </c>
      <c r="E8" s="12" t="s">
        <v>58</v>
      </c>
      <c r="Q8" s="15" t="s">
        <v>33</v>
      </c>
      <c r="R8" s="221">
        <f>I22</f>
        <v>-8.6127187164136559E-3</v>
      </c>
      <c r="S8" s="222"/>
    </row>
    <row r="9" spans="1:21">
      <c r="B9" s="31"/>
      <c r="C9" s="21"/>
      <c r="D9" s="30" t="s">
        <v>21</v>
      </c>
      <c r="E9" s="15"/>
      <c r="H9" s="1" t="s">
        <v>63</v>
      </c>
    </row>
    <row r="10" spans="1:21">
      <c r="Q10" s="4"/>
    </row>
    <row r="11" spans="1:21" ht="15.75" customHeight="1">
      <c r="A11" s="196" t="s">
        <v>78</v>
      </c>
      <c r="B11" s="197"/>
      <c r="C11" s="197"/>
      <c r="D11" s="197"/>
      <c r="E11" s="197"/>
      <c r="F11" s="211" t="s">
        <v>76</v>
      </c>
      <c r="G11" s="197"/>
      <c r="H11" s="197"/>
      <c r="I11" s="197"/>
      <c r="J11" s="198"/>
      <c r="K11" s="211" t="s">
        <v>51</v>
      </c>
      <c r="L11" s="197"/>
      <c r="M11" s="197"/>
      <c r="N11" s="197"/>
      <c r="O11" s="198"/>
      <c r="Q11" s="196" t="s">
        <v>18</v>
      </c>
      <c r="R11" s="197"/>
      <c r="S11" s="197"/>
      <c r="T11" s="197"/>
      <c r="U11" s="198"/>
    </row>
    <row r="12" spans="1:21">
      <c r="A12" s="32"/>
      <c r="B12" s="33"/>
      <c r="C12" s="34" t="s">
        <v>75</v>
      </c>
      <c r="D12" s="34"/>
      <c r="E12" s="34"/>
      <c r="F12" s="35"/>
      <c r="G12" s="33"/>
      <c r="H12" s="5" t="s">
        <v>52</v>
      </c>
      <c r="I12" s="34"/>
      <c r="J12" s="6"/>
      <c r="K12" s="35"/>
      <c r="L12" s="33"/>
      <c r="M12" s="5" t="s">
        <v>52</v>
      </c>
      <c r="N12" s="34"/>
      <c r="O12" s="6"/>
      <c r="P12" s="36"/>
      <c r="Q12" s="37"/>
      <c r="R12" s="38"/>
      <c r="S12" s="5" t="s">
        <v>52</v>
      </c>
      <c r="T12" s="34"/>
      <c r="U12" s="6"/>
    </row>
    <row r="13" spans="1:21" ht="15.6">
      <c r="A13" s="39"/>
      <c r="B13" s="40"/>
      <c r="C13" s="41">
        <v>35</v>
      </c>
      <c r="D13" s="41">
        <v>45</v>
      </c>
      <c r="E13" s="41">
        <v>55</v>
      </c>
      <c r="F13" s="42"/>
      <c r="G13" s="40"/>
      <c r="H13" s="43">
        <f>C13</f>
        <v>35</v>
      </c>
      <c r="I13" s="43">
        <f>D13</f>
        <v>45</v>
      </c>
      <c r="J13" s="44">
        <f>E13</f>
        <v>55</v>
      </c>
      <c r="K13" s="42"/>
      <c r="L13" s="40"/>
      <c r="M13" s="43">
        <v>35</v>
      </c>
      <c r="N13" s="43">
        <v>45</v>
      </c>
      <c r="O13" s="43">
        <v>55</v>
      </c>
      <c r="P13" s="45"/>
      <c r="Q13" s="46"/>
      <c r="R13" s="47"/>
      <c r="S13" s="48">
        <f>IF(C13="","",C13)</f>
        <v>35</v>
      </c>
      <c r="T13" s="48">
        <f t="shared" ref="T13:U13" si="0">IF(D13="","",D13)</f>
        <v>45</v>
      </c>
      <c r="U13" s="48">
        <f t="shared" si="0"/>
        <v>55</v>
      </c>
    </row>
    <row r="14" spans="1:21" ht="15.6">
      <c r="A14" s="193" t="s">
        <v>56</v>
      </c>
      <c r="B14" s="49">
        <v>-35</v>
      </c>
      <c r="C14" s="191">
        <v>126.10968735095042</v>
      </c>
      <c r="D14" s="191">
        <v>117.49840523466796</v>
      </c>
      <c r="E14" s="191">
        <v>108.87812811532235</v>
      </c>
      <c r="F14" s="193" t="s">
        <v>77</v>
      </c>
      <c r="G14" s="51">
        <f>IF(B14="","",B14)</f>
        <v>-35</v>
      </c>
      <c r="H14" s="192">
        <v>75.827089239062076</v>
      </c>
      <c r="I14" s="192">
        <v>83.401558404979724</v>
      </c>
      <c r="J14" s="192">
        <v>90.279153313447765</v>
      </c>
      <c r="K14" s="193" t="s">
        <v>56</v>
      </c>
      <c r="L14" s="51">
        <v>-35</v>
      </c>
      <c r="M14" s="53">
        <v>0.79165854447059569</v>
      </c>
      <c r="N14" s="53">
        <v>0.73760088078588371</v>
      </c>
      <c r="O14" s="53">
        <v>0.68348675061408382</v>
      </c>
      <c r="P14" s="45"/>
      <c r="Q14" s="193" t="s">
        <v>56</v>
      </c>
      <c r="R14" s="54">
        <f>IF(B14="","",B14)</f>
        <v>-35</v>
      </c>
      <c r="S14" s="55">
        <f>IF(C14="","",C14/H14)</f>
        <v>1.6631218291046497</v>
      </c>
      <c r="T14" s="55">
        <f t="shared" ref="T14:U19" si="1">IF(D14="","",D14/I14)</f>
        <v>1.408827454567712</v>
      </c>
      <c r="U14" s="55">
        <f t="shared" si="1"/>
        <v>1.2060162741812526</v>
      </c>
    </row>
    <row r="15" spans="1:21" ht="15.6">
      <c r="A15" s="194"/>
      <c r="B15" s="49">
        <v>-25</v>
      </c>
      <c r="C15" s="191">
        <v>188.40392993286375</v>
      </c>
      <c r="D15" s="191">
        <v>179.78125306047977</v>
      </c>
      <c r="E15" s="191">
        <v>171.1428330195547</v>
      </c>
      <c r="F15" s="194"/>
      <c r="G15" s="51">
        <f t="shared" ref="G15:G19" si="2">IF(B15="","",B15)</f>
        <v>-25</v>
      </c>
      <c r="H15" s="192">
        <v>96.895449480026912</v>
      </c>
      <c r="I15" s="192">
        <v>109.58515150782176</v>
      </c>
      <c r="J15" s="192">
        <v>121.10874367936796</v>
      </c>
      <c r="K15" s="194"/>
      <c r="L15" s="51">
        <v>-25</v>
      </c>
      <c r="M15" s="56">
        <v>0.73950341434044853</v>
      </c>
      <c r="N15" s="56">
        <v>0.70565858429813166</v>
      </c>
      <c r="O15" s="56">
        <v>0.67175196081608746</v>
      </c>
      <c r="P15" s="45"/>
      <c r="Q15" s="194"/>
      <c r="R15" s="54">
        <f t="shared" ref="R15:R19" si="3">IF(B15="","",B15)</f>
        <v>-25</v>
      </c>
      <c r="S15" s="55">
        <f t="shared" ref="S15:S19" si="4">IF(C15="","",C15/H15)</f>
        <v>1.944404313555504</v>
      </c>
      <c r="T15" s="55">
        <f t="shared" si="1"/>
        <v>1.6405621618148485</v>
      </c>
      <c r="U15" s="55">
        <f t="shared" si="1"/>
        <v>1.4131335840841566</v>
      </c>
    </row>
    <row r="16" spans="1:21" ht="15.6">
      <c r="A16" s="194"/>
      <c r="B16" s="49">
        <v>-15</v>
      </c>
      <c r="C16" s="191">
        <v>279.65586850230437</v>
      </c>
      <c r="D16" s="191">
        <v>271.013594675462</v>
      </c>
      <c r="E16" s="191">
        <v>262.34882951460065</v>
      </c>
      <c r="F16" s="194"/>
      <c r="G16" s="51">
        <f t="shared" si="2"/>
        <v>-15</v>
      </c>
      <c r="H16" s="192">
        <v>114.49662584727415</v>
      </c>
      <c r="I16" s="192">
        <v>134.04620086738089</v>
      </c>
      <c r="J16" s="192">
        <v>151.96043043243981</v>
      </c>
      <c r="K16" s="194"/>
      <c r="L16" s="51">
        <v>-15</v>
      </c>
      <c r="M16" s="56">
        <v>0.71477065568952081</v>
      </c>
      <c r="N16" s="56">
        <v>0.69268192298048559</v>
      </c>
      <c r="O16" s="56">
        <v>0.67053570481387648</v>
      </c>
      <c r="P16" s="45"/>
      <c r="Q16" s="194"/>
      <c r="R16" s="54">
        <f t="shared" si="3"/>
        <v>-15</v>
      </c>
      <c r="S16" s="55">
        <f t="shared" si="4"/>
        <v>2.4424813083604264</v>
      </c>
      <c r="T16" s="55">
        <f t="shared" si="1"/>
        <v>2.0217924336668842</v>
      </c>
      <c r="U16" s="55">
        <f t="shared" si="1"/>
        <v>1.7264285759656262</v>
      </c>
    </row>
    <row r="17" spans="1:21" ht="15.6">
      <c r="A17" s="194"/>
      <c r="B17" s="49"/>
      <c r="C17" s="50"/>
      <c r="D17" s="50"/>
      <c r="E17" s="50"/>
      <c r="F17" s="194"/>
      <c r="G17" s="51" t="str">
        <f t="shared" si="2"/>
        <v/>
      </c>
      <c r="H17" s="52"/>
      <c r="I17" s="52"/>
      <c r="J17" s="52"/>
      <c r="K17" s="194"/>
      <c r="L17" s="51"/>
      <c r="M17" s="56"/>
      <c r="N17" s="56"/>
      <c r="O17" s="56"/>
      <c r="P17" s="45"/>
      <c r="Q17" s="194"/>
      <c r="R17" s="54" t="str">
        <f t="shared" si="3"/>
        <v/>
      </c>
      <c r="S17" s="55" t="str">
        <f t="shared" si="4"/>
        <v/>
      </c>
      <c r="T17" s="55" t="str">
        <f t="shared" si="1"/>
        <v/>
      </c>
      <c r="U17" s="55" t="str">
        <f t="shared" si="1"/>
        <v/>
      </c>
    </row>
    <row r="18" spans="1:21" ht="15.6">
      <c r="A18" s="194"/>
      <c r="B18" s="49"/>
      <c r="C18" s="57"/>
      <c r="D18" s="57"/>
      <c r="E18" s="57"/>
      <c r="F18" s="194"/>
      <c r="G18" s="51" t="str">
        <f t="shared" si="2"/>
        <v/>
      </c>
      <c r="H18" s="58"/>
      <c r="I18" s="58"/>
      <c r="J18" s="58"/>
      <c r="K18" s="194"/>
      <c r="L18" s="51"/>
      <c r="M18" s="56"/>
      <c r="N18" s="56"/>
      <c r="O18" s="56"/>
      <c r="P18" s="45"/>
      <c r="Q18" s="194"/>
      <c r="R18" s="54" t="str">
        <f t="shared" si="3"/>
        <v/>
      </c>
      <c r="S18" s="55" t="str">
        <f t="shared" si="4"/>
        <v/>
      </c>
      <c r="T18" s="55" t="str">
        <f t="shared" si="1"/>
        <v/>
      </c>
      <c r="U18" s="55" t="str">
        <f t="shared" si="1"/>
        <v/>
      </c>
    </row>
    <row r="19" spans="1:21" ht="13.5" customHeight="1">
      <c r="A19" s="195"/>
      <c r="B19" s="49"/>
      <c r="C19" s="59"/>
      <c r="D19" s="60"/>
      <c r="E19" s="61"/>
      <c r="F19" s="195"/>
      <c r="G19" s="51" t="str">
        <f t="shared" si="2"/>
        <v/>
      </c>
      <c r="H19" s="58"/>
      <c r="I19" s="58"/>
      <c r="J19" s="58"/>
      <c r="K19" s="195"/>
      <c r="L19" s="51"/>
      <c r="M19" s="56"/>
      <c r="N19" s="56"/>
      <c r="O19" s="56"/>
      <c r="P19" s="45"/>
      <c r="Q19" s="195"/>
      <c r="R19" s="54" t="str">
        <f t="shared" si="3"/>
        <v/>
      </c>
      <c r="S19" s="55" t="str">
        <f t="shared" si="4"/>
        <v/>
      </c>
      <c r="T19" s="55" t="str">
        <f t="shared" si="1"/>
        <v/>
      </c>
      <c r="U19" s="55" t="str">
        <f t="shared" si="1"/>
        <v/>
      </c>
    </row>
    <row r="20" spans="1:21" ht="13.5" customHeight="1">
      <c r="B20" s="62"/>
      <c r="D20" s="8"/>
      <c r="E20" s="8"/>
      <c r="F20" s="8"/>
      <c r="G20" s="63"/>
      <c r="H20" s="63"/>
      <c r="P20" s="45"/>
      <c r="Q20" s="45"/>
      <c r="R20" s="45"/>
    </row>
    <row r="21" spans="1:21">
      <c r="A21" s="64" t="s">
        <v>65</v>
      </c>
      <c r="B21" s="65">
        <v>0.85831634581564931</v>
      </c>
      <c r="C21" s="66">
        <v>3.8447109291242982E-3</v>
      </c>
      <c r="D21" s="65" t="s">
        <v>66</v>
      </c>
      <c r="E21" s="67">
        <v>-3.0173812758234782E-2</v>
      </c>
      <c r="F21" s="68" t="s">
        <v>67</v>
      </c>
      <c r="G21" s="69"/>
      <c r="H21" s="70"/>
      <c r="I21" s="71"/>
      <c r="J21" s="71"/>
      <c r="K21" s="71"/>
    </row>
    <row r="22" spans="1:21">
      <c r="A22" s="64" t="s">
        <v>68</v>
      </c>
      <c r="B22" s="72">
        <v>44.910880106252201</v>
      </c>
      <c r="C22" s="73">
        <v>-0.5028658067897056</v>
      </c>
      <c r="D22" s="74" t="s">
        <v>69</v>
      </c>
      <c r="E22" s="75">
        <v>2.7070531629051189</v>
      </c>
      <c r="F22" s="76" t="s">
        <v>70</v>
      </c>
      <c r="G22" s="77">
        <v>5.7529351276943273E-2</v>
      </c>
      <c r="H22" s="70" t="s">
        <v>71</v>
      </c>
      <c r="I22" s="71">
        <v>-8.6127187164136559E-3</v>
      </c>
      <c r="J22" s="71" t="s">
        <v>72</v>
      </c>
      <c r="K22" s="71"/>
    </row>
    <row r="23" spans="1:21">
      <c r="A23" s="71" t="s">
        <v>60</v>
      </c>
      <c r="F23" s="62"/>
      <c r="G23" s="63"/>
      <c r="H23" s="78"/>
    </row>
    <row r="24" spans="1:21">
      <c r="A24" s="196" t="s">
        <v>42</v>
      </c>
      <c r="B24" s="197"/>
      <c r="C24" s="197"/>
      <c r="D24" s="197"/>
      <c r="E24" s="197"/>
      <c r="F24" s="211" t="s">
        <v>41</v>
      </c>
      <c r="G24" s="197"/>
      <c r="H24" s="197"/>
      <c r="I24" s="197"/>
      <c r="J24" s="198"/>
      <c r="K24" s="211" t="s">
        <v>51</v>
      </c>
      <c r="L24" s="197"/>
      <c r="M24" s="197"/>
      <c r="N24" s="197"/>
      <c r="O24" s="198"/>
      <c r="Q24" s="196" t="s">
        <v>18</v>
      </c>
      <c r="R24" s="197"/>
      <c r="S24" s="197"/>
      <c r="T24" s="197"/>
      <c r="U24" s="198"/>
    </row>
    <row r="25" spans="1:21">
      <c r="A25" s="32"/>
      <c r="B25" s="33"/>
      <c r="C25" s="34" t="s">
        <v>52</v>
      </c>
      <c r="D25" s="34"/>
      <c r="E25" s="34"/>
      <c r="F25" s="35"/>
      <c r="G25" s="33"/>
      <c r="H25" s="34" t="s">
        <v>52</v>
      </c>
      <c r="I25" s="34"/>
      <c r="J25" s="34"/>
      <c r="K25" s="35"/>
      <c r="L25" s="33"/>
      <c r="M25" s="5" t="s">
        <v>52</v>
      </c>
      <c r="N25" s="34"/>
      <c r="O25" s="6"/>
      <c r="Q25" s="37"/>
      <c r="R25" s="38"/>
      <c r="S25" s="5" t="s">
        <v>52</v>
      </c>
      <c r="T25" s="34"/>
      <c r="U25" s="6"/>
    </row>
    <row r="26" spans="1:21" ht="15.6">
      <c r="A26" s="39"/>
      <c r="B26" s="40"/>
      <c r="C26" s="43">
        <v>35</v>
      </c>
      <c r="D26" s="43">
        <v>45</v>
      </c>
      <c r="E26" s="79">
        <v>55</v>
      </c>
      <c r="F26" s="42"/>
      <c r="G26" s="40"/>
      <c r="H26" s="43">
        <v>35</v>
      </c>
      <c r="I26" s="43">
        <v>45</v>
      </c>
      <c r="J26" s="44">
        <v>55</v>
      </c>
      <c r="K26" s="42"/>
      <c r="L26" s="40"/>
      <c r="M26" s="43">
        <v>35</v>
      </c>
      <c r="N26" s="43">
        <v>45</v>
      </c>
      <c r="O26" s="44">
        <v>55</v>
      </c>
      <c r="P26" s="80"/>
      <c r="Q26" s="46"/>
      <c r="R26" s="47"/>
      <c r="S26" s="48">
        <f>IF(C26="","",C26)</f>
        <v>35</v>
      </c>
      <c r="T26" s="48">
        <f t="shared" ref="T26:U26" si="5">IF(D26="","",D26)</f>
        <v>45</v>
      </c>
      <c r="U26" s="48">
        <f t="shared" si="5"/>
        <v>55</v>
      </c>
    </row>
    <row r="27" spans="1:21" ht="15.6">
      <c r="A27" s="193" t="s">
        <v>56</v>
      </c>
      <c r="B27" s="51">
        <v>-35</v>
      </c>
      <c r="C27" s="81">
        <v>121.59904531902183</v>
      </c>
      <c r="D27" s="82">
        <v>117.06291202556378</v>
      </c>
      <c r="E27" s="83">
        <v>111.61336941456204</v>
      </c>
      <c r="F27" s="193" t="s">
        <v>56</v>
      </c>
      <c r="G27" s="51">
        <v>-35</v>
      </c>
      <c r="H27" s="84">
        <v>76.234008303708819</v>
      </c>
      <c r="I27" s="84">
        <v>83.16926698582985</v>
      </c>
      <c r="J27" s="84">
        <v>90.104525667950909</v>
      </c>
      <c r="K27" s="193" t="s">
        <v>56</v>
      </c>
      <c r="L27" s="51">
        <v>-35</v>
      </c>
      <c r="M27" s="53">
        <v>0.76334281091646294</v>
      </c>
      <c r="N27" s="53">
        <v>0.73486705496101434</v>
      </c>
      <c r="O27" s="53">
        <v>0.70065733592927792</v>
      </c>
      <c r="P27" s="80"/>
      <c r="Q27" s="193"/>
      <c r="R27" s="54"/>
      <c r="S27" s="55"/>
      <c r="T27" s="55"/>
      <c r="U27" s="55">
        <f t="shared" ref="U27:U32" si="6">IF(E27="","",E27/J27)</f>
        <v>1.2387099159244737</v>
      </c>
    </row>
    <row r="28" spans="1:21" ht="15.6">
      <c r="A28" s="194"/>
      <c r="B28" s="51">
        <v>-25</v>
      </c>
      <c r="C28" s="85">
        <v>189.76884130412176</v>
      </c>
      <c r="D28" s="86">
        <v>181.10225473146801</v>
      </c>
      <c r="E28" s="87">
        <v>170.69053846031588</v>
      </c>
      <c r="F28" s="194"/>
      <c r="G28" s="51">
        <v>-25</v>
      </c>
      <c r="H28" s="88">
        <v>96.508254412590119</v>
      </c>
      <c r="I28" s="88">
        <v>109.19644822240548</v>
      </c>
      <c r="J28" s="88">
        <v>121.88464203222085</v>
      </c>
      <c r="K28" s="194"/>
      <c r="L28" s="51">
        <v>-25</v>
      </c>
      <c r="M28" s="56">
        <v>0.74486082179833479</v>
      </c>
      <c r="N28" s="56">
        <v>0.71084364198983341</v>
      </c>
      <c r="O28" s="56">
        <v>0.66997666148467805</v>
      </c>
      <c r="P28" s="80"/>
      <c r="Q28" s="194"/>
      <c r="R28" s="54"/>
      <c r="S28" s="55"/>
      <c r="T28" s="55"/>
      <c r="U28" s="55">
        <f t="shared" si="6"/>
        <v>1.400426957936119</v>
      </c>
    </row>
    <row r="29" spans="1:21" ht="15.6">
      <c r="A29" s="194"/>
      <c r="B29" s="51">
        <v>-15</v>
      </c>
      <c r="C29" s="85">
        <v>287.22151892719904</v>
      </c>
      <c r="D29" s="86">
        <v>272.65077009986788</v>
      </c>
      <c r="E29" s="87">
        <v>255.14601186816856</v>
      </c>
      <c r="F29" s="194"/>
      <c r="G29" s="51">
        <v>-15</v>
      </c>
      <c r="H29" s="88">
        <v>115.05995677818866</v>
      </c>
      <c r="I29" s="88">
        <v>133.50108571569834</v>
      </c>
      <c r="J29" s="88">
        <v>151.94221465320805</v>
      </c>
      <c r="K29" s="194"/>
      <c r="L29" s="51">
        <v>-15</v>
      </c>
      <c r="M29" s="56">
        <v>0.734107653492859</v>
      </c>
      <c r="N29" s="56">
        <v>0.69686636923526435</v>
      </c>
      <c r="O29" s="56">
        <v>0.65212606900138881</v>
      </c>
      <c r="P29" s="80"/>
      <c r="Q29" s="194"/>
      <c r="R29" s="54"/>
      <c r="S29" s="55"/>
      <c r="T29" s="55"/>
      <c r="U29" s="55">
        <f t="shared" si="6"/>
        <v>1.6792305709806337</v>
      </c>
    </row>
    <row r="30" spans="1:21" ht="15.6">
      <c r="A30" s="194"/>
      <c r="B30" s="51"/>
      <c r="C30" s="85"/>
      <c r="D30" s="86"/>
      <c r="E30" s="87"/>
      <c r="F30" s="194"/>
      <c r="G30" s="51"/>
      <c r="H30" s="88"/>
      <c r="I30" s="88"/>
      <c r="J30" s="88"/>
      <c r="K30" s="194"/>
      <c r="L30" s="51"/>
      <c r="M30" s="56"/>
      <c r="N30" s="56"/>
      <c r="O30" s="56"/>
      <c r="P30" s="80"/>
      <c r="Q30" s="194"/>
      <c r="R30" s="54"/>
      <c r="S30" s="55"/>
      <c r="T30" s="55"/>
      <c r="U30" s="55" t="str">
        <f t="shared" si="6"/>
        <v/>
      </c>
    </row>
    <row r="31" spans="1:21" ht="15.6">
      <c r="A31" s="194"/>
      <c r="B31" s="51"/>
      <c r="C31" s="85"/>
      <c r="D31" s="86"/>
      <c r="E31" s="87"/>
      <c r="F31" s="194"/>
      <c r="G31" s="51"/>
      <c r="H31" s="88"/>
      <c r="I31" s="88"/>
      <c r="J31" s="88"/>
      <c r="K31" s="194"/>
      <c r="L31" s="51"/>
      <c r="M31" s="56"/>
      <c r="N31" s="56"/>
      <c r="O31" s="56"/>
      <c r="P31" s="80"/>
      <c r="Q31" s="194"/>
      <c r="R31" s="54"/>
      <c r="S31" s="55"/>
      <c r="T31" s="55"/>
      <c r="U31" s="55" t="str">
        <f t="shared" si="6"/>
        <v/>
      </c>
    </row>
    <row r="32" spans="1:21" ht="15.6">
      <c r="A32" s="195"/>
      <c r="B32" s="89"/>
      <c r="C32" s="85"/>
      <c r="D32" s="86"/>
      <c r="E32" s="87"/>
      <c r="F32" s="195"/>
      <c r="G32" s="51"/>
      <c r="H32" s="56"/>
      <c r="I32" s="56"/>
      <c r="J32" s="56"/>
      <c r="K32" s="195"/>
      <c r="L32" s="51"/>
      <c r="M32" s="56"/>
      <c r="N32" s="56"/>
      <c r="O32" s="56"/>
      <c r="P32" s="80"/>
      <c r="Q32" s="195"/>
      <c r="R32" s="54"/>
      <c r="S32" s="55"/>
      <c r="T32" s="55"/>
      <c r="U32" s="55" t="str">
        <f t="shared" si="6"/>
        <v/>
      </c>
    </row>
    <row r="33" spans="1:21">
      <c r="B33" s="8"/>
      <c r="C33" s="8"/>
      <c r="D33" s="62"/>
      <c r="E33" s="90"/>
      <c r="F33" s="62"/>
      <c r="G33" s="4"/>
      <c r="H33" s="62"/>
      <c r="I33" s="63"/>
      <c r="J33" s="63"/>
      <c r="K33" s="63"/>
      <c r="L33" s="63"/>
      <c r="M33" s="63"/>
    </row>
    <row r="34" spans="1:21">
      <c r="B34" s="8"/>
      <c r="C34" s="8"/>
      <c r="E34" s="90"/>
      <c r="G34" s="91"/>
      <c r="H34" s="92"/>
      <c r="I34" s="36"/>
    </row>
    <row r="35" spans="1:21" ht="20.100000000000001" customHeight="1">
      <c r="B35" s="8"/>
      <c r="C35" s="8"/>
      <c r="E35" s="90"/>
      <c r="G35" s="4"/>
      <c r="H35" s="92"/>
    </row>
    <row r="36" spans="1:21" ht="30" customHeight="1">
      <c r="B36" s="62"/>
      <c r="E36" s="90"/>
      <c r="G36" s="92"/>
      <c r="H36" s="92"/>
      <c r="I36" s="36"/>
    </row>
    <row r="37" spans="1:21" ht="20.100000000000001" customHeight="1">
      <c r="B37" s="62"/>
      <c r="G37" s="92"/>
      <c r="H37" s="93"/>
      <c r="I37" s="36"/>
      <c r="M37" s="94"/>
    </row>
    <row r="38" spans="1:21" ht="227.25" customHeight="1">
      <c r="B38" s="62"/>
      <c r="C38" s="95"/>
      <c r="D38" s="8"/>
      <c r="E38" s="8"/>
      <c r="F38" s="8"/>
      <c r="G38" s="92"/>
      <c r="H38" s="93"/>
      <c r="I38" s="36"/>
      <c r="K38" s="8"/>
      <c r="L38" s="8"/>
      <c r="M38" s="96"/>
      <c r="N38" s="8"/>
    </row>
    <row r="39" spans="1:21">
      <c r="B39" s="62"/>
      <c r="C39" s="95"/>
      <c r="D39" s="8" t="s">
        <v>22</v>
      </c>
      <c r="E39" s="8"/>
      <c r="F39" s="8"/>
      <c r="G39" s="92"/>
      <c r="H39" s="93"/>
      <c r="I39" s="36"/>
      <c r="K39" s="8"/>
      <c r="L39" s="8"/>
      <c r="M39" s="96"/>
      <c r="N39" s="8"/>
    </row>
    <row r="40" spans="1:21">
      <c r="B40" s="62"/>
      <c r="C40" s="202" t="s">
        <v>11</v>
      </c>
      <c r="D40" s="202"/>
      <c r="E40" s="202"/>
      <c r="F40" s="202"/>
      <c r="G40" s="202"/>
      <c r="H40" s="97"/>
      <c r="I40" s="197" t="s">
        <v>12</v>
      </c>
      <c r="J40" s="197"/>
      <c r="K40" s="197"/>
      <c r="L40" s="197"/>
      <c r="M40" s="197"/>
      <c r="N40" s="198"/>
      <c r="O40" s="97"/>
      <c r="P40" s="98"/>
      <c r="Q40" s="197" t="s">
        <v>18</v>
      </c>
      <c r="R40" s="197"/>
      <c r="S40" s="197"/>
      <c r="T40" s="197"/>
      <c r="U40" s="198"/>
    </row>
    <row r="41" spans="1:21">
      <c r="A41" s="99"/>
      <c r="B41" s="15"/>
      <c r="C41" s="203" t="s">
        <v>10</v>
      </c>
      <c r="D41" s="203"/>
      <c r="E41" s="203"/>
      <c r="F41" s="203"/>
      <c r="G41" s="203"/>
      <c r="H41" s="99"/>
      <c r="I41" s="203" t="s">
        <v>10</v>
      </c>
      <c r="J41" s="203"/>
      <c r="K41" s="203"/>
      <c r="L41" s="203"/>
      <c r="M41" s="203"/>
      <c r="O41" s="100"/>
      <c r="P41" s="101"/>
      <c r="Q41" s="212" t="s">
        <v>10</v>
      </c>
      <c r="R41" s="201"/>
      <c r="S41" s="201"/>
      <c r="T41" s="201"/>
      <c r="U41" s="213"/>
    </row>
    <row r="42" spans="1:21">
      <c r="A42" s="102"/>
      <c r="B42" s="15"/>
      <c r="C42" s="103">
        <v>35</v>
      </c>
      <c r="D42" s="103">
        <v>40</v>
      </c>
      <c r="E42" s="103">
        <v>45</v>
      </c>
      <c r="F42" s="103">
        <v>50</v>
      </c>
      <c r="G42" s="104">
        <v>55</v>
      </c>
      <c r="H42" s="102"/>
      <c r="I42" s="105"/>
      <c r="J42" s="106">
        <v>35</v>
      </c>
      <c r="K42" s="107">
        <v>40</v>
      </c>
      <c r="L42" s="107">
        <v>45</v>
      </c>
      <c r="M42" s="107">
        <v>50</v>
      </c>
      <c r="N42" s="107">
        <v>55</v>
      </c>
      <c r="O42" s="39"/>
      <c r="P42" s="108"/>
      <c r="Q42" s="48">
        <v>35</v>
      </c>
      <c r="R42" s="48">
        <v>40</v>
      </c>
      <c r="S42" s="48">
        <v>45</v>
      </c>
      <c r="T42" s="48">
        <v>50</v>
      </c>
      <c r="U42" s="48">
        <v>55</v>
      </c>
    </row>
    <row r="43" spans="1:21">
      <c r="A43" s="109"/>
      <c r="B43" s="110">
        <v>-32</v>
      </c>
      <c r="C43" s="111">
        <v>139.4144424659564</v>
      </c>
      <c r="D43" s="111">
        <v>136.74066571244788</v>
      </c>
      <c r="E43" s="111">
        <v>133.79883125549847</v>
      </c>
      <c r="F43" s="111">
        <v>130.57429921444452</v>
      </c>
      <c r="G43" s="112">
        <v>127.05244383731032</v>
      </c>
      <c r="H43" s="109"/>
      <c r="I43" s="113">
        <v>-32</v>
      </c>
      <c r="J43" s="114">
        <v>82.4971492294179</v>
      </c>
      <c r="K43" s="115">
        <v>86.827718839632567</v>
      </c>
      <c r="L43" s="115">
        <v>91.158288449847234</v>
      </c>
      <c r="M43" s="115">
        <v>95.488858060061901</v>
      </c>
      <c r="N43" s="115">
        <v>99.819427670276582</v>
      </c>
      <c r="O43" s="116"/>
      <c r="P43" s="117">
        <v>-32</v>
      </c>
      <c r="Q43" s="118">
        <f>C43/J43/0.86</f>
        <v>1.9650353780112479</v>
      </c>
      <c r="R43" s="118">
        <f t="shared" ref="R43:U50" si="7">D43/K43/0.86</f>
        <v>1.8312213681198972</v>
      </c>
      <c r="S43" s="118">
        <f t="shared" si="7"/>
        <v>1.7067020343322781</v>
      </c>
      <c r="T43" s="118">
        <f t="shared" si="7"/>
        <v>1.5900345188588574</v>
      </c>
      <c r="U43" s="118">
        <f t="shared" si="7"/>
        <v>1.480026516469573</v>
      </c>
    </row>
    <row r="44" spans="1:21">
      <c r="A44" s="119" t="s">
        <v>6</v>
      </c>
      <c r="B44" s="120">
        <v>-30</v>
      </c>
      <c r="C44" s="121">
        <v>152.48851737475502</v>
      </c>
      <c r="D44" s="121">
        <v>149.43755976292169</v>
      </c>
      <c r="E44" s="121">
        <v>146.08073043249766</v>
      </c>
      <c r="F44" s="121">
        <v>142.40132430319201</v>
      </c>
      <c r="G44" s="122">
        <v>138.38265241648941</v>
      </c>
      <c r="H44" s="119" t="s">
        <v>6</v>
      </c>
      <c r="I44" s="123">
        <v>-30</v>
      </c>
      <c r="J44" s="124">
        <v>86.586449326059821</v>
      </c>
      <c r="K44" s="125">
        <v>91.492312449043922</v>
      </c>
      <c r="L44" s="125">
        <v>96.398175572028023</v>
      </c>
      <c r="M44" s="125">
        <v>101.30403869501212</v>
      </c>
      <c r="N44" s="125">
        <v>106.20990181799621</v>
      </c>
      <c r="O44" s="116" t="s">
        <v>6</v>
      </c>
      <c r="P44" s="126">
        <v>-30</v>
      </c>
      <c r="Q44" s="127">
        <f t="shared" ref="Q44:Q50" si="8">C44/J44/0.86</f>
        <v>2.0478057581252918</v>
      </c>
      <c r="R44" s="127">
        <f t="shared" si="7"/>
        <v>1.8992262816864256</v>
      </c>
      <c r="S44" s="127">
        <f t="shared" si="7"/>
        <v>1.7620801788875504</v>
      </c>
      <c r="T44" s="127">
        <f t="shared" si="7"/>
        <v>1.6345146488658457</v>
      </c>
      <c r="U44" s="127">
        <f t="shared" si="7"/>
        <v>1.5150193926847382</v>
      </c>
    </row>
    <row r="45" spans="1:21">
      <c r="A45" s="119" t="s">
        <v>7</v>
      </c>
      <c r="B45" s="120">
        <v>-28</v>
      </c>
      <c r="C45" s="121">
        <v>166.58433714311147</v>
      </c>
      <c r="D45" s="121">
        <v>163.12672815133854</v>
      </c>
      <c r="E45" s="121">
        <v>159.32247887835479</v>
      </c>
      <c r="F45" s="121">
        <v>155.15265768263296</v>
      </c>
      <c r="G45" s="122">
        <v>150.59835119323583</v>
      </c>
      <c r="H45" s="119" t="s">
        <v>7</v>
      </c>
      <c r="I45" s="123">
        <v>-28</v>
      </c>
      <c r="J45" s="124">
        <v>90.606847672970403</v>
      </c>
      <c r="K45" s="125">
        <v>96.088004308723939</v>
      </c>
      <c r="L45" s="125">
        <v>101.56916094447747</v>
      </c>
      <c r="M45" s="125">
        <v>107.05031758023101</v>
      </c>
      <c r="N45" s="125">
        <v>112.53147421598456</v>
      </c>
      <c r="O45" s="116" t="s">
        <v>7</v>
      </c>
      <c r="P45" s="126">
        <v>-28</v>
      </c>
      <c r="Q45" s="127">
        <f t="shared" si="8"/>
        <v>2.1378375098911433</v>
      </c>
      <c r="R45" s="127">
        <f t="shared" si="7"/>
        <v>1.9740470561445378</v>
      </c>
      <c r="S45" s="127">
        <f t="shared" si="7"/>
        <v>1.8239660015646992</v>
      </c>
      <c r="T45" s="127">
        <f t="shared" si="7"/>
        <v>1.6852828758552454</v>
      </c>
      <c r="U45" s="127">
        <f t="shared" si="7"/>
        <v>1.5561367437211238</v>
      </c>
    </row>
    <row r="46" spans="1:21">
      <c r="A46" s="119" t="s">
        <v>8</v>
      </c>
      <c r="B46" s="120">
        <v>-26</v>
      </c>
      <c r="C46" s="121">
        <v>181.75881634889086</v>
      </c>
      <c r="D46" s="121">
        <v>177.86344499273082</v>
      </c>
      <c r="E46" s="121">
        <v>173.5775457817634</v>
      </c>
      <c r="F46" s="121">
        <v>168.87979016949711</v>
      </c>
      <c r="G46" s="122">
        <v>163.74887019324083</v>
      </c>
      <c r="H46" s="119" t="s">
        <v>8</v>
      </c>
      <c r="I46" s="123">
        <v>-26</v>
      </c>
      <c r="J46" s="124">
        <v>94.558344270149689</v>
      </c>
      <c r="K46" s="125">
        <v>100.61479441867266</v>
      </c>
      <c r="L46" s="125">
        <v>106.67124456719561</v>
      </c>
      <c r="M46" s="125">
        <v>112.72769471571858</v>
      </c>
      <c r="N46" s="125">
        <v>118.78414486424158</v>
      </c>
      <c r="O46" s="116" t="s">
        <v>8</v>
      </c>
      <c r="P46" s="126">
        <v>-26</v>
      </c>
      <c r="Q46" s="127">
        <f t="shared" si="8"/>
        <v>2.2351011166924777</v>
      </c>
      <c r="R46" s="127">
        <f t="shared" si="7"/>
        <v>2.055542234010574</v>
      </c>
      <c r="S46" s="127">
        <f t="shared" si="7"/>
        <v>1.8921158778929228</v>
      </c>
      <c r="T46" s="127">
        <f t="shared" si="7"/>
        <v>1.742001817117947</v>
      </c>
      <c r="U46" s="127">
        <f t="shared" si="7"/>
        <v>1.6029552027588445</v>
      </c>
    </row>
    <row r="47" spans="1:21">
      <c r="A47" s="119" t="s">
        <v>5</v>
      </c>
      <c r="B47" s="120">
        <v>-24</v>
      </c>
      <c r="C47" s="121">
        <v>198.07071015429366</v>
      </c>
      <c r="D47" s="121">
        <v>193.70477211486065</v>
      </c>
      <c r="E47" s="121">
        <v>188.90112987193348</v>
      </c>
      <c r="F47" s="121">
        <v>183.63587835871914</v>
      </c>
      <c r="G47" s="122">
        <v>177.88513557877869</v>
      </c>
      <c r="H47" s="119" t="s">
        <v>5</v>
      </c>
      <c r="I47" s="123">
        <v>-24</v>
      </c>
      <c r="J47" s="124">
        <v>98.440939117597679</v>
      </c>
      <c r="K47" s="125">
        <v>105.07268277889007</v>
      </c>
      <c r="L47" s="125">
        <v>111.70442644018247</v>
      </c>
      <c r="M47" s="125">
        <v>118.33617010147488</v>
      </c>
      <c r="N47" s="125">
        <v>124.96791376276728</v>
      </c>
      <c r="O47" s="116" t="s">
        <v>5</v>
      </c>
      <c r="P47" s="126">
        <v>-24</v>
      </c>
      <c r="Q47" s="127">
        <f t="shared" si="8"/>
        <v>2.3396239543595208</v>
      </c>
      <c r="R47" s="127">
        <f t="shared" si="7"/>
        <v>2.1436409650287831</v>
      </c>
      <c r="S47" s="127">
        <f t="shared" si="7"/>
        <v>1.966372180541073</v>
      </c>
      <c r="T47" s="127">
        <f t="shared" si="7"/>
        <v>1.8044363860321382</v>
      </c>
      <c r="U47" s="127">
        <f t="shared" si="7"/>
        <v>1.6551703127429749</v>
      </c>
    </row>
    <row r="48" spans="1:21">
      <c r="A48" s="128"/>
      <c r="B48" s="120">
        <v>-22</v>
      </c>
      <c r="C48" s="121">
        <v>215.580654003452</v>
      </c>
      <c r="D48" s="121">
        <v>210.70959763652357</v>
      </c>
      <c r="E48" s="121">
        <v>205.350196765389</v>
      </c>
      <c r="F48" s="121">
        <v>199.4757806203873</v>
      </c>
      <c r="G48" s="122">
        <v>193.05970417134208</v>
      </c>
      <c r="H48" s="128"/>
      <c r="I48" s="123">
        <v>-22</v>
      </c>
      <c r="J48" s="124">
        <v>102.25463221531436</v>
      </c>
      <c r="K48" s="125">
        <v>109.4616693893762</v>
      </c>
      <c r="L48" s="125">
        <v>116.66870656343802</v>
      </c>
      <c r="M48" s="125">
        <v>123.87574373749985</v>
      </c>
      <c r="N48" s="125">
        <v>131.08278091156168</v>
      </c>
      <c r="O48" s="129"/>
      <c r="P48" s="126">
        <v>-22</v>
      </c>
      <c r="Q48" s="127">
        <f t="shared" si="8"/>
        <v>2.4514799343851981</v>
      </c>
      <c r="R48" s="127">
        <f t="shared" si="7"/>
        <v>2.2383283701888144</v>
      </c>
      <c r="S48" s="127">
        <f t="shared" si="7"/>
        <v>2.0466439167607535</v>
      </c>
      <c r="T48" s="127">
        <f t="shared" si="7"/>
        <v>1.8724293805915904</v>
      </c>
      <c r="U48" s="127">
        <f t="shared" si="7"/>
        <v>1.7125668722093121</v>
      </c>
    </row>
    <row r="49" spans="1:21">
      <c r="A49" s="128"/>
      <c r="B49" s="120">
        <v>-20</v>
      </c>
      <c r="C49" s="121">
        <v>234.35121241716473</v>
      </c>
      <c r="D49" s="121">
        <v>228.93868338281482</v>
      </c>
      <c r="E49" s="121">
        <v>222.9835248634673</v>
      </c>
      <c r="F49" s="121">
        <v>216.45610133362516</v>
      </c>
      <c r="G49" s="122">
        <v>209.32680586850938</v>
      </c>
      <c r="H49" s="128"/>
      <c r="I49" s="123">
        <v>-20</v>
      </c>
      <c r="J49" s="124">
        <v>105.99942356329973</v>
      </c>
      <c r="K49" s="125">
        <v>113.78175425013097</v>
      </c>
      <c r="L49" s="125">
        <v>121.56408493696225</v>
      </c>
      <c r="M49" s="125">
        <v>129.34641562379352</v>
      </c>
      <c r="N49" s="125">
        <v>137.12874631062479</v>
      </c>
      <c r="O49" s="116" t="s">
        <v>9</v>
      </c>
      <c r="P49" s="126">
        <v>-20</v>
      </c>
      <c r="Q49" s="127">
        <f t="shared" si="8"/>
        <v>2.5707819969857768</v>
      </c>
      <c r="R49" s="127">
        <f t="shared" si="7"/>
        <v>2.3396349716154923</v>
      </c>
      <c r="S49" s="127">
        <f t="shared" si="7"/>
        <v>2.1328928571324743</v>
      </c>
      <c r="T49" s="127">
        <f t="shared" si="7"/>
        <v>1.945884158225651</v>
      </c>
      <c r="U49" s="127">
        <f t="shared" si="7"/>
        <v>1.7749980889232604</v>
      </c>
    </row>
    <row r="50" spans="1:21">
      <c r="A50" s="102"/>
      <c r="B50" s="130">
        <v>-18</v>
      </c>
      <c r="C50" s="131">
        <v>254.44693850143761</v>
      </c>
      <c r="D50" s="131">
        <v>248.45472270755812</v>
      </c>
      <c r="E50" s="131">
        <v>241.86176131959624</v>
      </c>
      <c r="F50" s="131">
        <v>234.63524482044591</v>
      </c>
      <c r="G50" s="132">
        <v>226.74239535688056</v>
      </c>
      <c r="H50" s="102"/>
      <c r="I50" s="133">
        <v>-18</v>
      </c>
      <c r="J50" s="134">
        <v>109.67531316155379</v>
      </c>
      <c r="K50" s="135">
        <v>118.03293736115448</v>
      </c>
      <c r="L50" s="135">
        <v>126.39056156075516</v>
      </c>
      <c r="M50" s="135">
        <v>134.74818576035585</v>
      </c>
      <c r="N50" s="135">
        <v>143.10580995995656</v>
      </c>
      <c r="O50" s="136"/>
      <c r="P50" s="137">
        <v>-18</v>
      </c>
      <c r="Q50" s="138">
        <f t="shared" si="8"/>
        <v>2.6976766659000706</v>
      </c>
      <c r="R50" s="138">
        <f t="shared" si="7"/>
        <v>2.4476289992991833</v>
      </c>
      <c r="S50" s="138">
        <f t="shared" si="7"/>
        <v>2.225123480050283</v>
      </c>
      <c r="T50" s="138">
        <f t="shared" si="7"/>
        <v>2.0247521588824529</v>
      </c>
      <c r="U50" s="138">
        <f t="shared" si="7"/>
        <v>1.8423706777745141</v>
      </c>
    </row>
    <row r="51" spans="1:21">
      <c r="B51" s="62"/>
      <c r="C51" s="95"/>
      <c r="D51" s="8"/>
      <c r="E51" s="8"/>
      <c r="F51" s="8"/>
      <c r="G51" s="92"/>
      <c r="H51" s="93"/>
      <c r="I51" s="36"/>
      <c r="K51" s="8"/>
      <c r="L51" s="8"/>
      <c r="M51" s="96"/>
      <c r="N51" s="8"/>
    </row>
    <row r="52" spans="1:21" hidden="1">
      <c r="B52" s="62"/>
      <c r="C52" s="95"/>
      <c r="D52" s="8"/>
      <c r="E52" s="8"/>
      <c r="F52" s="8"/>
      <c r="G52" s="92"/>
      <c r="H52" s="93"/>
      <c r="I52" s="36"/>
      <c r="K52" s="8"/>
      <c r="L52" s="8"/>
      <c r="M52" s="96"/>
      <c r="N52" s="8"/>
    </row>
    <row r="53" spans="1:21" hidden="1">
      <c r="B53" s="62"/>
      <c r="C53" s="95"/>
      <c r="D53" s="8"/>
      <c r="E53" s="8"/>
      <c r="F53" s="8"/>
      <c r="G53" s="92"/>
      <c r="H53" s="93"/>
      <c r="I53" s="36"/>
      <c r="K53" s="8"/>
      <c r="L53" s="8"/>
      <c r="M53" s="96"/>
      <c r="N53" s="8"/>
    </row>
    <row r="54" spans="1:21" hidden="1">
      <c r="B54" s="62"/>
      <c r="C54" s="95"/>
      <c r="D54" s="8"/>
      <c r="E54" s="8"/>
      <c r="F54" s="8"/>
      <c r="G54" s="92"/>
      <c r="H54" s="93"/>
      <c r="I54" s="36"/>
      <c r="K54" s="8"/>
      <c r="L54" s="8"/>
      <c r="M54" s="96"/>
      <c r="N54" s="8"/>
    </row>
    <row r="55" spans="1:21" hidden="1">
      <c r="B55" s="62"/>
      <c r="C55" s="8"/>
      <c r="D55" s="8"/>
      <c r="E55" s="8"/>
      <c r="F55" s="8"/>
      <c r="G55" s="36"/>
      <c r="H55" s="93"/>
      <c r="I55" s="36"/>
      <c r="K55" s="8"/>
      <c r="L55" s="8"/>
      <c r="M55" s="8"/>
      <c r="N55" s="8"/>
    </row>
    <row r="56" spans="1:21">
      <c r="B56" s="139"/>
      <c r="C56" s="139"/>
      <c r="D56" s="139"/>
      <c r="E56" s="139"/>
      <c r="F56" s="8"/>
      <c r="G56" s="36"/>
      <c r="H56" s="93"/>
      <c r="I56" s="36"/>
      <c r="K56" s="8"/>
      <c r="L56" s="8"/>
      <c r="M56" s="8"/>
      <c r="N56" s="8"/>
    </row>
    <row r="57" spans="1:21" ht="18" customHeight="1">
      <c r="A57" s="140"/>
      <c r="B57" s="141"/>
      <c r="C57" s="197" t="s">
        <v>25</v>
      </c>
      <c r="D57" s="197"/>
      <c r="E57" s="197"/>
      <c r="F57" s="197"/>
      <c r="G57" s="198"/>
      <c r="H57" s="97"/>
      <c r="I57" s="98"/>
      <c r="J57" s="197" t="s">
        <v>15</v>
      </c>
      <c r="K57" s="197"/>
      <c r="L57" s="197"/>
      <c r="M57" s="197"/>
      <c r="N57" s="198"/>
      <c r="O57" s="97"/>
      <c r="P57" s="98"/>
      <c r="Q57" s="197" t="s">
        <v>23</v>
      </c>
      <c r="R57" s="197"/>
      <c r="S57" s="197"/>
      <c r="T57" s="197"/>
      <c r="U57" s="198"/>
    </row>
    <row r="58" spans="1:21">
      <c r="A58" s="100"/>
      <c r="B58" s="101"/>
      <c r="C58" s="201" t="s">
        <v>10</v>
      </c>
      <c r="D58" s="201"/>
      <c r="E58" s="201"/>
      <c r="F58" s="201"/>
      <c r="G58" s="201"/>
      <c r="H58" s="100"/>
      <c r="I58" s="101"/>
      <c r="J58" s="212" t="s">
        <v>10</v>
      </c>
      <c r="K58" s="201"/>
      <c r="L58" s="201"/>
      <c r="M58" s="201"/>
      <c r="N58" s="213"/>
      <c r="O58" s="100"/>
      <c r="P58" s="101"/>
      <c r="Q58" s="212" t="s">
        <v>10</v>
      </c>
      <c r="R58" s="201"/>
      <c r="S58" s="201"/>
      <c r="T58" s="201"/>
      <c r="U58" s="213"/>
    </row>
    <row r="59" spans="1:21">
      <c r="A59" s="39"/>
      <c r="B59" s="108"/>
      <c r="C59" s="142">
        <v>35</v>
      </c>
      <c r="D59" s="142">
        <v>40</v>
      </c>
      <c r="E59" s="142">
        <v>45</v>
      </c>
      <c r="F59" s="142">
        <v>50</v>
      </c>
      <c r="G59" s="26">
        <v>55</v>
      </c>
      <c r="H59" s="39"/>
      <c r="I59" s="108"/>
      <c r="J59" s="143">
        <v>35</v>
      </c>
      <c r="K59" s="48">
        <v>40</v>
      </c>
      <c r="L59" s="48">
        <v>45</v>
      </c>
      <c r="M59" s="48">
        <v>50</v>
      </c>
      <c r="N59" s="48">
        <v>55</v>
      </c>
      <c r="O59" s="39"/>
      <c r="P59" s="108"/>
      <c r="Q59" s="48">
        <v>35</v>
      </c>
      <c r="R59" s="48">
        <v>40</v>
      </c>
      <c r="S59" s="48">
        <v>45</v>
      </c>
      <c r="T59" s="48">
        <v>50</v>
      </c>
      <c r="U59" s="48">
        <v>55</v>
      </c>
    </row>
    <row r="60" spans="1:21">
      <c r="A60" s="109"/>
      <c r="B60" s="110">
        <v>-32</v>
      </c>
      <c r="C60" s="144">
        <v>104.67917115518307</v>
      </c>
      <c r="D60" s="144">
        <v>97.541954138063971</v>
      </c>
      <c r="E60" s="144">
        <v>90.343151007538083</v>
      </c>
      <c r="F60" s="144">
        <v>83.10585949558839</v>
      </c>
      <c r="G60" s="145">
        <v>75.856849599790777</v>
      </c>
      <c r="H60" s="109"/>
      <c r="I60" s="113">
        <v>-32</v>
      </c>
      <c r="J60" s="146">
        <f>J43</f>
        <v>82.4971492294179</v>
      </c>
      <c r="K60" s="146">
        <f>K43</f>
        <v>86.827718839632567</v>
      </c>
      <c r="L60" s="146">
        <f>L43</f>
        <v>91.158288449847234</v>
      </c>
      <c r="M60" s="146">
        <f>M43</f>
        <v>95.488858060061901</v>
      </c>
      <c r="N60" s="146">
        <f>N43</f>
        <v>99.819427670276582</v>
      </c>
      <c r="O60" s="101"/>
      <c r="P60" s="117">
        <v>-32</v>
      </c>
      <c r="Q60" s="118">
        <f>C60/J60/0.86</f>
        <v>1.4754445165253143</v>
      </c>
      <c r="R60" s="118">
        <f t="shared" ref="R60:U67" si="9">D60/K60/0.86</f>
        <v>1.3062749824650988</v>
      </c>
      <c r="S60" s="118">
        <f t="shared" si="9"/>
        <v>1.1523930229115289</v>
      </c>
      <c r="T60" s="118">
        <f t="shared" si="9"/>
        <v>1.0119999579733667</v>
      </c>
      <c r="U60" s="118">
        <f t="shared" si="9"/>
        <v>0.88365202173754109</v>
      </c>
    </row>
    <row r="61" spans="1:21">
      <c r="A61" s="119" t="s">
        <v>6</v>
      </c>
      <c r="B61" s="120">
        <v>-30</v>
      </c>
      <c r="C61" s="147">
        <v>115.74101276846818</v>
      </c>
      <c r="D61" s="147">
        <v>107.81693225897173</v>
      </c>
      <c r="E61" s="147">
        <v>99.824144000475428</v>
      </c>
      <c r="F61" s="147">
        <v>91.789065569485899</v>
      </c>
      <c r="G61" s="148">
        <v>83.742306792609497</v>
      </c>
      <c r="H61" s="119" t="s">
        <v>6</v>
      </c>
      <c r="I61" s="123">
        <v>-30</v>
      </c>
      <c r="J61" s="149">
        <f t="shared" ref="J61:N67" si="10">J44</f>
        <v>86.586449326059821</v>
      </c>
      <c r="K61" s="149">
        <f t="shared" si="10"/>
        <v>91.492312449043922</v>
      </c>
      <c r="L61" s="149">
        <f t="shared" si="10"/>
        <v>96.398175572028023</v>
      </c>
      <c r="M61" s="149">
        <f t="shared" si="10"/>
        <v>101.30403869501212</v>
      </c>
      <c r="N61" s="149">
        <f t="shared" si="10"/>
        <v>106.20990181799621</v>
      </c>
      <c r="O61" s="101" t="s">
        <v>6</v>
      </c>
      <c r="P61" s="126">
        <v>-30</v>
      </c>
      <c r="Q61" s="127">
        <f t="shared" ref="Q61:Q67" si="11">C61/J61/0.86</f>
        <v>1.5543144918645575</v>
      </c>
      <c r="R61" s="127">
        <f t="shared" si="9"/>
        <v>1.3702629491668876</v>
      </c>
      <c r="S61" s="127">
        <f t="shared" si="9"/>
        <v>1.2041160048753659</v>
      </c>
      <c r="T61" s="127">
        <f t="shared" si="9"/>
        <v>1.0535756813581072</v>
      </c>
      <c r="U61" s="127">
        <f t="shared" si="9"/>
        <v>0.91681447467211963</v>
      </c>
    </row>
    <row r="62" spans="1:21">
      <c r="A62" s="119" t="s">
        <v>7</v>
      </c>
      <c r="B62" s="120">
        <v>-28</v>
      </c>
      <c r="C62" s="147">
        <v>127.80990786270691</v>
      </c>
      <c r="D62" s="147">
        <v>119.03211514219278</v>
      </c>
      <c r="E62" s="147">
        <v>110.17746879069702</v>
      </c>
      <c r="F62" s="147">
        <v>101.27594367725818</v>
      </c>
      <c r="G62" s="148">
        <v>92.362268063447104</v>
      </c>
      <c r="H62" s="119" t="s">
        <v>7</v>
      </c>
      <c r="I62" s="123">
        <v>-28</v>
      </c>
      <c r="J62" s="149">
        <f t="shared" si="10"/>
        <v>90.606847672970403</v>
      </c>
      <c r="K62" s="149">
        <f t="shared" si="10"/>
        <v>96.088004308723939</v>
      </c>
      <c r="L62" s="149">
        <f t="shared" si="10"/>
        <v>101.56916094447747</v>
      </c>
      <c r="M62" s="149">
        <f t="shared" si="10"/>
        <v>107.05031758023101</v>
      </c>
      <c r="N62" s="149">
        <f t="shared" si="10"/>
        <v>112.53147421598456</v>
      </c>
      <c r="O62" s="101" t="s">
        <v>7</v>
      </c>
      <c r="P62" s="126">
        <v>-28</v>
      </c>
      <c r="Q62" s="127">
        <f t="shared" si="11"/>
        <v>1.640231127671324</v>
      </c>
      <c r="R62" s="127">
        <f t="shared" si="9"/>
        <v>1.4404444884415788</v>
      </c>
      <c r="S62" s="127">
        <f t="shared" si="9"/>
        <v>1.2613408894178904</v>
      </c>
      <c r="T62" s="127">
        <f t="shared" si="9"/>
        <v>1.1000689009432834</v>
      </c>
      <c r="U62" s="127">
        <f t="shared" si="9"/>
        <v>0.95438175735755137</v>
      </c>
    </row>
    <row r="63" spans="1:21">
      <c r="A63" s="119" t="s">
        <v>8</v>
      </c>
      <c r="B63" s="120">
        <v>-26</v>
      </c>
      <c r="C63" s="147">
        <v>140.95782426230284</v>
      </c>
      <c r="D63" s="147">
        <v>131.25520306917241</v>
      </c>
      <c r="E63" s="147">
        <v>121.46645902428105</v>
      </c>
      <c r="F63" s="147">
        <v>111.62537330743127</v>
      </c>
      <c r="G63" s="148">
        <v>101.77108517573112</v>
      </c>
      <c r="H63" s="119" t="s">
        <v>8</v>
      </c>
      <c r="I63" s="123">
        <v>-26</v>
      </c>
      <c r="J63" s="149">
        <f t="shared" si="10"/>
        <v>94.558344270149689</v>
      </c>
      <c r="K63" s="149">
        <f t="shared" si="10"/>
        <v>100.61479441867266</v>
      </c>
      <c r="L63" s="149">
        <f t="shared" si="10"/>
        <v>106.67124456719561</v>
      </c>
      <c r="M63" s="149">
        <f t="shared" si="10"/>
        <v>112.72769471571858</v>
      </c>
      <c r="N63" s="149">
        <f t="shared" si="10"/>
        <v>118.78414486424158</v>
      </c>
      <c r="O63" s="101" t="s">
        <v>8</v>
      </c>
      <c r="P63" s="126">
        <v>-26</v>
      </c>
      <c r="Q63" s="127">
        <f t="shared" si="11"/>
        <v>1.7333684095436597</v>
      </c>
      <c r="R63" s="127">
        <f t="shared" si="9"/>
        <v>1.5168974903940762</v>
      </c>
      <c r="S63" s="127">
        <f t="shared" si="9"/>
        <v>1.324068817289493</v>
      </c>
      <c r="T63" s="127">
        <f t="shared" si="9"/>
        <v>1.1514202080832292</v>
      </c>
      <c r="U63" s="127">
        <f t="shared" si="9"/>
        <v>0.99624803688926777</v>
      </c>
    </row>
    <row r="64" spans="1:21">
      <c r="A64" s="119" t="s">
        <v>5</v>
      </c>
      <c r="B64" s="120">
        <v>-24</v>
      </c>
      <c r="C64" s="147">
        <v>155.26050655176189</v>
      </c>
      <c r="D64" s="147">
        <v>144.55748033034041</v>
      </c>
      <c r="E64" s="147">
        <v>133.75783287873546</v>
      </c>
      <c r="F64" s="147">
        <v>122.89941255851492</v>
      </c>
      <c r="G64" s="148">
        <v>112.02607651148169</v>
      </c>
      <c r="H64" s="119" t="s">
        <v>5</v>
      </c>
      <c r="I64" s="123">
        <v>-24</v>
      </c>
      <c r="J64" s="149">
        <f t="shared" si="10"/>
        <v>98.440939117597679</v>
      </c>
      <c r="K64" s="149">
        <f t="shared" si="10"/>
        <v>105.07268277889007</v>
      </c>
      <c r="L64" s="149">
        <f t="shared" si="10"/>
        <v>111.70442644018247</v>
      </c>
      <c r="M64" s="149">
        <f t="shared" si="10"/>
        <v>118.33617010147488</v>
      </c>
      <c r="N64" s="149">
        <f t="shared" si="10"/>
        <v>124.96791376276728</v>
      </c>
      <c r="O64" s="101" t="s">
        <v>5</v>
      </c>
      <c r="P64" s="126">
        <v>-24</v>
      </c>
      <c r="Q64" s="127">
        <f t="shared" si="11"/>
        <v>1.8339470788564798</v>
      </c>
      <c r="R64" s="127">
        <f t="shared" si="9"/>
        <v>1.5997506579430674</v>
      </c>
      <c r="S64" s="127">
        <f t="shared" si="9"/>
        <v>1.3923563171936646</v>
      </c>
      <c r="T64" s="127">
        <f t="shared" si="9"/>
        <v>1.207629869634514</v>
      </c>
      <c r="U64" s="127">
        <f t="shared" si="9"/>
        <v>1.042370603319809</v>
      </c>
    </row>
    <row r="65" spans="1:21">
      <c r="A65" s="128"/>
      <c r="B65" s="120">
        <v>-22</v>
      </c>
      <c r="C65" s="147">
        <v>170.79763846712748</v>
      </c>
      <c r="D65" s="147">
        <v>159.01396960953849</v>
      </c>
      <c r="E65" s="147">
        <v>147.12183913919191</v>
      </c>
      <c r="F65" s="147">
        <v>135.16343561507344</v>
      </c>
      <c r="G65" s="148">
        <v>123.18765566833611</v>
      </c>
      <c r="H65" s="128"/>
      <c r="I65" s="123">
        <v>-22</v>
      </c>
      <c r="J65" s="149">
        <f t="shared" si="10"/>
        <v>102.25463221531436</v>
      </c>
      <c r="K65" s="149">
        <f t="shared" si="10"/>
        <v>109.4616693893762</v>
      </c>
      <c r="L65" s="149">
        <f t="shared" si="10"/>
        <v>116.66870656343802</v>
      </c>
      <c r="M65" s="149">
        <f t="shared" si="10"/>
        <v>123.87574373749985</v>
      </c>
      <c r="N65" s="149">
        <f t="shared" si="10"/>
        <v>131.08278091156168</v>
      </c>
      <c r="O65" s="150"/>
      <c r="P65" s="126">
        <v>-22</v>
      </c>
      <c r="Q65" s="127">
        <f t="shared" si="11"/>
        <v>1.9422289327308371</v>
      </c>
      <c r="R65" s="127">
        <f t="shared" si="9"/>
        <v>1.6891754501251881</v>
      </c>
      <c r="S65" s="127">
        <f t="shared" si="9"/>
        <v>1.466304984557149</v>
      </c>
      <c r="T65" s="127">
        <f t="shared" si="9"/>
        <v>1.2687454448868414</v>
      </c>
      <c r="U65" s="127">
        <f t="shared" si="9"/>
        <v>1.0927557310223841</v>
      </c>
    </row>
    <row r="66" spans="1:21">
      <c r="A66" s="128"/>
      <c r="B66" s="120">
        <v>-20</v>
      </c>
      <c r="C66" s="147">
        <v>187.65301970759765</v>
      </c>
      <c r="D66" s="147">
        <v>174.70359987621279</v>
      </c>
      <c r="E66" s="147">
        <v>161.63241585321902</v>
      </c>
      <c r="F66" s="147">
        <v>148.48628185948039</v>
      </c>
      <c r="G66" s="148">
        <v>135.31947073900884</v>
      </c>
      <c r="H66" s="128"/>
      <c r="I66" s="123">
        <v>-20</v>
      </c>
      <c r="J66" s="149">
        <f t="shared" si="10"/>
        <v>105.99942356329973</v>
      </c>
      <c r="K66" s="149">
        <f t="shared" si="10"/>
        <v>113.78175425013097</v>
      </c>
      <c r="L66" s="149">
        <f t="shared" si="10"/>
        <v>121.56408493696225</v>
      </c>
      <c r="M66" s="149">
        <f t="shared" si="10"/>
        <v>129.34641562379352</v>
      </c>
      <c r="N66" s="149">
        <f t="shared" si="10"/>
        <v>137.12874631062479</v>
      </c>
      <c r="O66" s="101" t="s">
        <v>9</v>
      </c>
      <c r="P66" s="126">
        <v>-20</v>
      </c>
      <c r="Q66" s="127">
        <f t="shared" si="11"/>
        <v>2.0585129463105578</v>
      </c>
      <c r="R66" s="127">
        <f t="shared" si="9"/>
        <v>1.7853804603830856</v>
      </c>
      <c r="S66" s="127">
        <f t="shared" si="9"/>
        <v>1.5460542453326251</v>
      </c>
      <c r="T66" s="127">
        <f t="shared" si="9"/>
        <v>1.3348531263567904</v>
      </c>
      <c r="U66" s="127">
        <f t="shared" si="9"/>
        <v>1.1474488465979198</v>
      </c>
    </row>
    <row r="67" spans="1:21">
      <c r="A67" s="102"/>
      <c r="B67" s="130">
        <v>-18</v>
      </c>
      <c r="C67" s="151">
        <v>205.91475947896086</v>
      </c>
      <c r="D67" s="151">
        <v>191.70938995866703</v>
      </c>
      <c r="E67" s="151">
        <v>177.36736359611848</v>
      </c>
      <c r="F67" s="151">
        <v>162.94041850708442</v>
      </c>
      <c r="G67" s="152">
        <v>148.48855601454056</v>
      </c>
      <c r="H67" s="102"/>
      <c r="I67" s="133">
        <v>-18</v>
      </c>
      <c r="J67" s="153">
        <f t="shared" si="10"/>
        <v>109.67531316155379</v>
      </c>
      <c r="K67" s="153">
        <f t="shared" si="10"/>
        <v>118.03293736115448</v>
      </c>
      <c r="L67" s="153">
        <f t="shared" si="10"/>
        <v>126.39056156075516</v>
      </c>
      <c r="M67" s="153">
        <f t="shared" si="10"/>
        <v>134.74818576035585</v>
      </c>
      <c r="N67" s="153">
        <f t="shared" si="10"/>
        <v>143.10580995995656</v>
      </c>
      <c r="O67" s="47"/>
      <c r="P67" s="137">
        <v>-18</v>
      </c>
      <c r="Q67" s="138">
        <f t="shared" si="11"/>
        <v>2.183132739117942</v>
      </c>
      <c r="R67" s="138">
        <f t="shared" si="9"/>
        <v>1.8886075385779526</v>
      </c>
      <c r="S67" s="138">
        <f t="shared" si="9"/>
        <v>1.6317762807111515</v>
      </c>
      <c r="T67" s="138">
        <f t="shared" si="9"/>
        <v>1.4060716427913269</v>
      </c>
      <c r="U67" s="138">
        <f t="shared" si="9"/>
        <v>1.2065276154275506</v>
      </c>
    </row>
    <row r="68" spans="1:21">
      <c r="B68" s="62"/>
      <c r="C68" s="154"/>
      <c r="D68" s="154"/>
      <c r="E68" s="154"/>
      <c r="F68" s="154"/>
      <c r="G68" s="154"/>
      <c r="I68" s="155"/>
      <c r="J68" s="156"/>
      <c r="K68" s="156"/>
      <c r="L68" s="156"/>
      <c r="M68" s="156"/>
      <c r="N68" s="156"/>
    </row>
    <row r="69" spans="1:21">
      <c r="B69" s="62"/>
    </row>
    <row r="70" spans="1:21">
      <c r="A70" s="62"/>
      <c r="B70" s="62"/>
      <c r="C70" s="62"/>
      <c r="D70" s="207"/>
      <c r="E70" s="207"/>
      <c r="F70" s="207"/>
      <c r="G70" s="207"/>
      <c r="H70" s="207"/>
      <c r="I70" s="207"/>
      <c r="J70" s="207"/>
      <c r="K70" s="207"/>
      <c r="L70" s="207"/>
      <c r="M70" s="207"/>
      <c r="N70" s="207"/>
      <c r="O70" s="97"/>
      <c r="P70" s="98"/>
      <c r="Q70" s="197" t="s">
        <v>24</v>
      </c>
      <c r="R70" s="197"/>
      <c r="S70" s="197"/>
      <c r="T70" s="197"/>
      <c r="U70" s="198"/>
    </row>
    <row r="71" spans="1:21">
      <c r="A71" s="109"/>
      <c r="B71" s="109"/>
      <c r="C71" s="109"/>
      <c r="D71" s="197" t="s">
        <v>14</v>
      </c>
      <c r="E71" s="197"/>
      <c r="F71" s="198"/>
      <c r="G71" s="196" t="s">
        <v>13</v>
      </c>
      <c r="H71" s="197"/>
      <c r="I71" s="198"/>
      <c r="J71" s="214"/>
      <c r="K71" s="214"/>
      <c r="L71" s="214"/>
      <c r="M71" s="214"/>
      <c r="N71" s="214"/>
      <c r="O71" s="100"/>
      <c r="P71" s="101"/>
      <c r="Q71" s="212" t="s">
        <v>10</v>
      </c>
      <c r="R71" s="201"/>
      <c r="S71" s="201"/>
      <c r="T71" s="201"/>
      <c r="U71" s="213"/>
    </row>
    <row r="72" spans="1:21">
      <c r="A72" s="157" t="s">
        <v>16</v>
      </c>
      <c r="B72" s="157" t="s">
        <v>17</v>
      </c>
      <c r="C72" s="157"/>
      <c r="D72" s="106">
        <f>M26</f>
        <v>35</v>
      </c>
      <c r="E72" s="106">
        <f>N26</f>
        <v>45</v>
      </c>
      <c r="F72" s="106">
        <f>D72</f>
        <v>35</v>
      </c>
      <c r="G72" s="106">
        <f>E72</f>
        <v>45</v>
      </c>
      <c r="H72" s="106">
        <f>N26</f>
        <v>45</v>
      </c>
      <c r="I72" s="106"/>
      <c r="J72" s="158"/>
      <c r="K72" s="158"/>
      <c r="L72" s="158"/>
      <c r="M72" s="158"/>
      <c r="N72" s="158"/>
      <c r="O72" s="39"/>
      <c r="P72" s="108"/>
      <c r="Q72" s="48">
        <v>35</v>
      </c>
      <c r="R72" s="48">
        <v>40</v>
      </c>
      <c r="S72" s="48">
        <v>45</v>
      </c>
      <c r="T72" s="48">
        <v>50</v>
      </c>
      <c r="U72" s="48">
        <v>55</v>
      </c>
    </row>
    <row r="73" spans="1:21">
      <c r="A73" s="14">
        <v>4.7878318380820248</v>
      </c>
      <c r="B73" s="14">
        <v>0.3719233795238876</v>
      </c>
      <c r="C73" s="14">
        <v>12.873167167417922</v>
      </c>
      <c r="D73" s="14">
        <v>0.79165854447059569</v>
      </c>
      <c r="E73" s="14"/>
      <c r="F73" s="14"/>
      <c r="G73" s="14">
        <v>0.76334281091646294</v>
      </c>
      <c r="H73" s="14"/>
      <c r="I73" s="14"/>
      <c r="J73" s="159"/>
      <c r="K73" s="159"/>
      <c r="L73" s="159"/>
      <c r="M73" s="159"/>
      <c r="N73" s="159"/>
      <c r="O73" s="119"/>
      <c r="P73" s="117">
        <v>-32</v>
      </c>
      <c r="Q73" s="160">
        <f t="shared" ref="Q73:U80" si="12">Q60/$U$60</f>
        <v>1.6697121493867244</v>
      </c>
      <c r="R73" s="160">
        <f t="shared" si="12"/>
        <v>1.478268538215469</v>
      </c>
      <c r="S73" s="160">
        <f t="shared" si="12"/>
        <v>1.3041253735215335</v>
      </c>
      <c r="T73" s="160">
        <f t="shared" si="12"/>
        <v>1.1452471482874591</v>
      </c>
      <c r="U73" s="160">
        <f>U60/$U$60</f>
        <v>1</v>
      </c>
    </row>
    <row r="74" spans="1:21">
      <c r="A74" s="14">
        <v>6.2233594418684053</v>
      </c>
      <c r="B74" s="14">
        <v>0.3719233795238876</v>
      </c>
      <c r="C74" s="14">
        <v>16.732907325791537</v>
      </c>
      <c r="D74" s="14"/>
      <c r="E74" s="14">
        <v>0.73760088078588371</v>
      </c>
      <c r="F74" s="14"/>
      <c r="G74" s="14"/>
      <c r="H74" s="14">
        <v>0.73486705496101434</v>
      </c>
      <c r="I74" s="14"/>
      <c r="J74" s="159"/>
      <c r="K74" s="159"/>
      <c r="L74" s="159"/>
      <c r="M74" s="159"/>
      <c r="N74" s="159"/>
      <c r="O74" s="119" t="s">
        <v>6</v>
      </c>
      <c r="P74" s="126">
        <v>-30</v>
      </c>
      <c r="Q74" s="161">
        <f t="shared" si="12"/>
        <v>1.7589667127205577</v>
      </c>
      <c r="R74" s="161">
        <f t="shared" si="12"/>
        <v>1.550681620659357</v>
      </c>
      <c r="S74" s="161">
        <f t="shared" si="12"/>
        <v>1.3626585751568707</v>
      </c>
      <c r="T74" s="161">
        <f t="shared" si="12"/>
        <v>1.1922970303247222</v>
      </c>
      <c r="U74" s="161">
        <f t="shared" si="12"/>
        <v>1.0375288599118131</v>
      </c>
    </row>
    <row r="75" spans="1:21">
      <c r="A75" s="14">
        <v>7.9479491617924891</v>
      </c>
      <c r="B75" s="14">
        <v>0.3719233795238876</v>
      </c>
      <c r="C75" s="14">
        <v>21.369856264392258</v>
      </c>
      <c r="D75" s="14"/>
      <c r="E75" s="14"/>
      <c r="F75" s="14">
        <v>0.68348675061408382</v>
      </c>
      <c r="G75" s="14"/>
      <c r="H75" s="14"/>
      <c r="I75" s="14">
        <v>0.70065733592927792</v>
      </c>
      <c r="J75" s="159"/>
      <c r="K75" s="159"/>
      <c r="L75" s="159"/>
      <c r="M75" s="159"/>
      <c r="N75" s="159"/>
      <c r="O75" s="119" t="s">
        <v>7</v>
      </c>
      <c r="P75" s="126">
        <v>-28</v>
      </c>
      <c r="Q75" s="161">
        <f t="shared" si="12"/>
        <v>1.8561957505015465</v>
      </c>
      <c r="R75" s="161">
        <f t="shared" si="12"/>
        <v>1.6301037659702362</v>
      </c>
      <c r="S75" s="161">
        <f t="shared" si="12"/>
        <v>1.4274180994207344</v>
      </c>
      <c r="T75" s="161">
        <f t="shared" si="12"/>
        <v>1.2449118814668672</v>
      </c>
      <c r="U75" s="161">
        <f t="shared" si="12"/>
        <v>1.0800425211283204</v>
      </c>
    </row>
    <row r="76" spans="1:21">
      <c r="A76" s="14">
        <v>4.7878318380820248</v>
      </c>
      <c r="B76" s="14">
        <v>0.59357850212742569</v>
      </c>
      <c r="C76" s="14">
        <v>8.0660465648976682</v>
      </c>
      <c r="D76" s="14">
        <v>0.73950341434044853</v>
      </c>
      <c r="E76" s="14"/>
      <c r="F76" s="14"/>
      <c r="G76" s="14">
        <v>0.74486082179833479</v>
      </c>
      <c r="H76" s="14"/>
      <c r="I76" s="14"/>
      <c r="J76" s="159"/>
      <c r="K76" s="159"/>
      <c r="L76" s="159"/>
      <c r="M76" s="159"/>
      <c r="N76" s="159"/>
      <c r="O76" s="119" t="s">
        <v>8</v>
      </c>
      <c r="P76" s="126">
        <v>-26</v>
      </c>
      <c r="Q76" s="161">
        <f t="shared" si="12"/>
        <v>1.9615961565224576</v>
      </c>
      <c r="R76" s="161">
        <f t="shared" si="12"/>
        <v>1.7166231198242188</v>
      </c>
      <c r="S76" s="161">
        <f t="shared" si="12"/>
        <v>1.4984052372629131</v>
      </c>
      <c r="T76" s="161">
        <f t="shared" si="12"/>
        <v>1.3030244708988168</v>
      </c>
      <c r="U76" s="161">
        <f t="shared" si="12"/>
        <v>1.127421216023845</v>
      </c>
    </row>
    <row r="77" spans="1:21">
      <c r="A77" s="14">
        <v>6.2233594418684053</v>
      </c>
      <c r="B77" s="14">
        <v>0.59357850212742569</v>
      </c>
      <c r="C77" s="14">
        <v>10.484475801538402</v>
      </c>
      <c r="D77" s="14"/>
      <c r="E77" s="14">
        <v>0.70565858429813166</v>
      </c>
      <c r="F77" s="14"/>
      <c r="G77" s="14"/>
      <c r="H77" s="14">
        <v>0.71084364198983341</v>
      </c>
      <c r="I77" s="14"/>
      <c r="J77" s="159"/>
      <c r="K77" s="159"/>
      <c r="L77" s="159"/>
      <c r="M77" s="159"/>
      <c r="N77" s="159"/>
      <c r="O77" s="119" t="s">
        <v>5</v>
      </c>
      <c r="P77" s="126">
        <v>-24</v>
      </c>
      <c r="Q77" s="161">
        <f t="shared" si="12"/>
        <v>2.0754177365546633</v>
      </c>
      <c r="R77" s="161">
        <f t="shared" si="12"/>
        <v>1.8103853310915856</v>
      </c>
      <c r="S77" s="161">
        <f t="shared" si="12"/>
        <v>1.5756839603624162</v>
      </c>
      <c r="T77" s="161">
        <f t="shared" si="12"/>
        <v>1.3666351006133945</v>
      </c>
      <c r="U77" s="161">
        <f t="shared" si="12"/>
        <v>1.179616611152178</v>
      </c>
    </row>
    <row r="78" spans="1:21">
      <c r="A78" s="14">
        <v>7.9479491617924891</v>
      </c>
      <c r="B78" s="14">
        <v>0.59357850212742569</v>
      </c>
      <c r="C78" s="14">
        <v>13.389887156132675</v>
      </c>
      <c r="D78" s="14"/>
      <c r="E78" s="14"/>
      <c r="F78" s="14">
        <v>0.67175196081608746</v>
      </c>
      <c r="G78" s="14"/>
      <c r="H78" s="14"/>
      <c r="I78" s="14">
        <v>0.66997666148467805</v>
      </c>
      <c r="J78" s="159"/>
      <c r="K78" s="159"/>
      <c r="L78" s="159"/>
      <c r="M78" s="159"/>
      <c r="N78" s="159"/>
      <c r="O78" s="128"/>
      <c r="P78" s="126">
        <v>-22</v>
      </c>
      <c r="Q78" s="161">
        <f t="shared" si="12"/>
        <v>2.1979567578103842</v>
      </c>
      <c r="R78" s="161">
        <f t="shared" si="12"/>
        <v>1.9115844343384534</v>
      </c>
      <c r="S78" s="161">
        <f t="shared" si="12"/>
        <v>1.6593692409303005</v>
      </c>
      <c r="T78" s="161">
        <f t="shared" si="12"/>
        <v>1.4357975918983177</v>
      </c>
      <c r="U78" s="161">
        <f t="shared" si="12"/>
        <v>1.2366358070156152</v>
      </c>
    </row>
    <row r="79" spans="1:21">
      <c r="A79" s="14">
        <v>4.7878318380820248</v>
      </c>
      <c r="B79" s="14">
        <v>0.90864948863276984</v>
      </c>
      <c r="C79" s="14">
        <v>5.2691735349856383</v>
      </c>
      <c r="D79" s="14">
        <v>0.71477065568952081</v>
      </c>
      <c r="E79" s="14"/>
      <c r="F79" s="14"/>
      <c r="G79" s="14">
        <v>0.734107653492859</v>
      </c>
      <c r="H79" s="14"/>
      <c r="I79" s="14"/>
      <c r="J79" s="159"/>
      <c r="K79" s="159"/>
      <c r="L79" s="159"/>
      <c r="M79" s="159"/>
      <c r="N79" s="159"/>
      <c r="O79" s="119" t="s">
        <v>9</v>
      </c>
      <c r="P79" s="126">
        <v>-20</v>
      </c>
      <c r="Q79" s="161">
        <f t="shared" si="12"/>
        <v>2.329551560650386</v>
      </c>
      <c r="R79" s="161">
        <f t="shared" si="12"/>
        <v>2.0204564879198257</v>
      </c>
      <c r="S79" s="161">
        <f t="shared" si="12"/>
        <v>1.7496188627425879</v>
      </c>
      <c r="T79" s="161">
        <f t="shared" si="12"/>
        <v>1.5106094859965853</v>
      </c>
      <c r="U79" s="161">
        <f t="shared" si="12"/>
        <v>1.2985302114079591</v>
      </c>
    </row>
    <row r="80" spans="1:21">
      <c r="A80" s="14">
        <v>6.2233594418684053</v>
      </c>
      <c r="B80" s="14">
        <v>0.90864948863276984</v>
      </c>
      <c r="C80" s="14">
        <v>6.8490210138483576</v>
      </c>
      <c r="D80" s="14"/>
      <c r="E80" s="14">
        <v>0.69268192298048559</v>
      </c>
      <c r="F80" s="14"/>
      <c r="G80" s="14"/>
      <c r="H80" s="14">
        <v>0.69686636923526435</v>
      </c>
      <c r="I80" s="14"/>
      <c r="J80" s="159"/>
      <c r="K80" s="159"/>
      <c r="L80" s="159"/>
      <c r="M80" s="159"/>
      <c r="N80" s="159"/>
      <c r="O80" s="102"/>
      <c r="P80" s="137">
        <v>-18</v>
      </c>
      <c r="Q80" s="162">
        <f t="shared" si="12"/>
        <v>2.470579691341857</v>
      </c>
      <c r="R80" s="162">
        <f t="shared" si="12"/>
        <v>2.1372751853884169</v>
      </c>
      <c r="S80" s="162">
        <f t="shared" si="12"/>
        <v>1.8466276776038604</v>
      </c>
      <c r="T80" s="162">
        <f t="shared" si="12"/>
        <v>1.5912051443355979</v>
      </c>
      <c r="U80" s="162">
        <f t="shared" si="12"/>
        <v>1.3653877156928056</v>
      </c>
    </row>
    <row r="81" spans="1:9">
      <c r="A81" s="14">
        <v>7.9479491617924891</v>
      </c>
      <c r="B81" s="14">
        <v>0.90864948863276984</v>
      </c>
      <c r="C81" s="14">
        <v>8.7469912889640646</v>
      </c>
      <c r="D81" s="14"/>
      <c r="E81" s="14"/>
      <c r="F81" s="14">
        <v>0.67053570481387648</v>
      </c>
      <c r="G81" s="14"/>
      <c r="H81" s="14"/>
      <c r="I81" s="14">
        <v>0.65212606900138881</v>
      </c>
    </row>
    <row r="82" spans="1:9">
      <c r="A82" s="14"/>
      <c r="B82" s="14"/>
      <c r="C82" s="14"/>
      <c r="D82" s="14"/>
      <c r="E82" s="14"/>
      <c r="F82" s="14"/>
      <c r="G82" s="14"/>
      <c r="H82" s="14"/>
      <c r="I82" s="14"/>
    </row>
    <row r="83" spans="1:9">
      <c r="A83" s="14"/>
      <c r="B83" s="14"/>
      <c r="C83" s="14"/>
      <c r="D83" s="14"/>
      <c r="E83" s="14"/>
      <c r="F83" s="14"/>
      <c r="G83" s="14"/>
      <c r="H83" s="14"/>
      <c r="I83" s="14"/>
    </row>
    <row r="84" spans="1:9">
      <c r="A84" s="14"/>
      <c r="B84" s="14"/>
      <c r="C84" s="14"/>
      <c r="D84" s="14"/>
      <c r="E84" s="14"/>
      <c r="F84" s="14"/>
      <c r="G84" s="14"/>
      <c r="H84" s="14"/>
      <c r="I84" s="14"/>
    </row>
    <row r="85" spans="1:9">
      <c r="A85" s="14"/>
      <c r="B85" s="14"/>
      <c r="C85" s="14"/>
      <c r="D85" s="14"/>
      <c r="E85" s="14"/>
      <c r="F85" s="14"/>
      <c r="G85" s="14"/>
      <c r="H85" s="14"/>
      <c r="I85" s="14"/>
    </row>
    <row r="86" spans="1:9">
      <c r="A86" s="14"/>
      <c r="B86" s="14"/>
      <c r="C86" s="14"/>
      <c r="D86" s="14"/>
      <c r="E86" s="14"/>
      <c r="F86" s="14"/>
      <c r="G86" s="14"/>
      <c r="H86" s="14"/>
      <c r="I86" s="14"/>
    </row>
    <row r="87" spans="1:9">
      <c r="A87" s="14"/>
      <c r="B87" s="14"/>
      <c r="C87" s="14"/>
      <c r="D87" s="14"/>
      <c r="E87" s="14"/>
      <c r="F87" s="14"/>
      <c r="G87" s="14"/>
      <c r="H87" s="14"/>
      <c r="I87" s="14"/>
    </row>
    <row r="88" spans="1:9">
      <c r="A88" s="1">
        <v>4.7878318380820248</v>
      </c>
      <c r="B88" s="1">
        <v>1.1086403483853422</v>
      </c>
      <c r="C88" s="1">
        <v>4.3186519821826526</v>
      </c>
      <c r="D88" s="1">
        <v>0.87548918516073793</v>
      </c>
      <c r="G88" s="1">
        <v>0.86845515962791453</v>
      </c>
    </row>
    <row r="89" spans="1:9">
      <c r="A89" s="1">
        <v>6.2233594418684053</v>
      </c>
      <c r="B89" s="1">
        <v>1.1086403483853422</v>
      </c>
      <c r="C89" s="1">
        <v>5.6135061753185305</v>
      </c>
      <c r="D89" s="159"/>
      <c r="E89" s="159">
        <v>0.79285372664203291</v>
      </c>
      <c r="F89" s="159"/>
      <c r="G89" s="159"/>
      <c r="H89" s="159">
        <v>0.79692236588216037</v>
      </c>
      <c r="I89" s="159"/>
    </row>
    <row r="90" spans="1:9" hidden="1">
      <c r="A90" s="1">
        <v>7.9479491617924891</v>
      </c>
      <c r="B90" s="1">
        <v>1.1086403483853422</v>
      </c>
      <c r="C90" s="1">
        <v>7.1690960674199946</v>
      </c>
      <c r="D90" s="159"/>
      <c r="E90" s="159"/>
      <c r="F90" s="159">
        <v>0.70798487686147449</v>
      </c>
      <c r="G90" s="159"/>
      <c r="H90" s="159"/>
      <c r="I90" s="159">
        <v>0.71098551562167944</v>
      </c>
    </row>
    <row r="91" spans="1:9" hidden="1">
      <c r="D91" s="159"/>
      <c r="E91" s="159"/>
      <c r="F91" s="159"/>
      <c r="G91" s="159"/>
      <c r="H91" s="159"/>
      <c r="I91" s="159"/>
    </row>
    <row r="92" spans="1:9" hidden="1">
      <c r="D92" s="159"/>
      <c r="E92" s="159"/>
      <c r="F92" s="159"/>
      <c r="G92" s="159"/>
      <c r="H92" s="159"/>
      <c r="I92" s="159"/>
    </row>
    <row r="93" spans="1:9" hidden="1">
      <c r="D93" s="159"/>
      <c r="E93" s="159"/>
      <c r="F93" s="159"/>
      <c r="G93" s="159"/>
      <c r="H93" s="159"/>
      <c r="I93" s="159"/>
    </row>
    <row r="94" spans="1:9" hidden="1">
      <c r="D94" s="159"/>
      <c r="E94" s="159"/>
      <c r="F94" s="159"/>
      <c r="G94" s="159"/>
      <c r="H94" s="159"/>
      <c r="I94" s="159"/>
    </row>
    <row r="95" spans="1:9" hidden="1">
      <c r="D95" s="159"/>
      <c r="E95" s="159"/>
      <c r="F95" s="159"/>
      <c r="G95" s="159"/>
      <c r="H95" s="159"/>
      <c r="I95" s="159"/>
    </row>
    <row r="96" spans="1:9" hidden="1">
      <c r="D96" s="159"/>
      <c r="E96" s="159"/>
      <c r="F96" s="159"/>
      <c r="G96" s="159"/>
      <c r="H96" s="159"/>
      <c r="I96" s="159"/>
    </row>
    <row r="97" spans="2:17" hidden="1">
      <c r="D97" s="159"/>
      <c r="E97" s="159"/>
      <c r="F97" s="159"/>
      <c r="G97" s="159"/>
      <c r="H97" s="159"/>
      <c r="I97" s="159"/>
    </row>
    <row r="98" spans="2:17" hidden="1">
      <c r="D98" s="159"/>
      <c r="E98" s="159"/>
      <c r="F98" s="159"/>
      <c r="G98" s="159"/>
      <c r="H98" s="159"/>
      <c r="I98" s="159"/>
    </row>
    <row r="99" spans="2:17" hidden="1"/>
    <row r="100" spans="2:17" hidden="1"/>
    <row r="102" spans="2:17" ht="15" thickBot="1">
      <c r="D102" s="1" t="s">
        <v>38</v>
      </c>
      <c r="L102" s="1" t="s">
        <v>37</v>
      </c>
    </row>
    <row r="103" spans="2:17" ht="15" thickBot="1">
      <c r="B103" s="163"/>
      <c r="C103" s="204" t="s">
        <v>20</v>
      </c>
      <c r="D103" s="205"/>
      <c r="E103" s="206"/>
      <c r="F103" s="204" t="s">
        <v>39</v>
      </c>
      <c r="G103" s="205"/>
      <c r="H103" s="206"/>
      <c r="K103" s="163"/>
      <c r="L103" s="204" t="s">
        <v>20</v>
      </c>
      <c r="M103" s="205"/>
      <c r="N103" s="206"/>
      <c r="O103" s="204" t="s">
        <v>39</v>
      </c>
      <c r="P103" s="205"/>
      <c r="Q103" s="206"/>
    </row>
    <row r="104" spans="2:17" ht="15" thickBot="1">
      <c r="B104" s="164"/>
      <c r="C104" s="165">
        <v>35</v>
      </c>
      <c r="D104" s="166">
        <v>45</v>
      </c>
      <c r="E104" s="167">
        <v>55</v>
      </c>
      <c r="F104" s="168">
        <v>35</v>
      </c>
      <c r="G104" s="168">
        <v>45</v>
      </c>
      <c r="H104" s="169">
        <v>55</v>
      </c>
      <c r="K104" s="164"/>
      <c r="L104" s="168">
        <v>40.5</v>
      </c>
      <c r="M104" s="168">
        <v>54.4</v>
      </c>
      <c r="N104" s="169">
        <v>65</v>
      </c>
      <c r="O104" s="165">
        <v>40.5</v>
      </c>
      <c r="P104" s="166">
        <v>54.4</v>
      </c>
      <c r="Q104" s="167">
        <v>65</v>
      </c>
    </row>
    <row r="105" spans="2:17">
      <c r="B105" s="170">
        <v>-35</v>
      </c>
      <c r="C105" s="171">
        <f t="shared" ref="C105:E109" si="13">IF(C27="","",C27)</f>
        <v>121.59904531902183</v>
      </c>
      <c r="D105" s="172">
        <f t="shared" si="13"/>
        <v>117.06291202556378</v>
      </c>
      <c r="E105" s="173">
        <f t="shared" si="13"/>
        <v>111.61336941456204</v>
      </c>
      <c r="F105" s="174">
        <f>IF(C14="","",C14)</f>
        <v>126.10968735095042</v>
      </c>
      <c r="G105" s="175">
        <f t="shared" ref="G105:H109" si="14">IF(D14="","",D14)</f>
        <v>117.49840523466796</v>
      </c>
      <c r="H105" s="176">
        <f t="shared" si="14"/>
        <v>108.87812811532235</v>
      </c>
      <c r="K105" s="170">
        <v>-30</v>
      </c>
      <c r="L105" s="174">
        <f t="shared" ref="L105:N109" si="15">IF(H27="","",H27)</f>
        <v>76.234008303708819</v>
      </c>
      <c r="M105" s="175">
        <f t="shared" si="15"/>
        <v>83.16926698582985</v>
      </c>
      <c r="N105" s="176">
        <f t="shared" si="15"/>
        <v>90.104525667950909</v>
      </c>
      <c r="O105" s="171">
        <f>IF(H14="","",H14)</f>
        <v>75.827089239062076</v>
      </c>
      <c r="P105" s="172">
        <f t="shared" ref="P105:Q109" si="16">IF(I14="","",I14)</f>
        <v>83.401558404979724</v>
      </c>
      <c r="Q105" s="173">
        <f t="shared" si="16"/>
        <v>90.279153313447765</v>
      </c>
    </row>
    <row r="106" spans="2:17">
      <c r="B106" s="177">
        <v>-25</v>
      </c>
      <c r="C106" s="178">
        <f t="shared" si="13"/>
        <v>189.76884130412176</v>
      </c>
      <c r="D106" s="179">
        <f t="shared" si="13"/>
        <v>181.10225473146801</v>
      </c>
      <c r="E106" s="180">
        <f t="shared" si="13"/>
        <v>170.69053846031588</v>
      </c>
      <c r="F106" s="181">
        <f t="shared" ref="F106:F109" si="17">IF(C15="","",C15)</f>
        <v>188.40392993286375</v>
      </c>
      <c r="G106" s="182">
        <f t="shared" si="14"/>
        <v>179.78125306047977</v>
      </c>
      <c r="H106" s="183">
        <f t="shared" si="14"/>
        <v>171.1428330195547</v>
      </c>
      <c r="K106" s="177">
        <v>-20</v>
      </c>
      <c r="L106" s="181">
        <f t="shared" si="15"/>
        <v>96.508254412590119</v>
      </c>
      <c r="M106" s="182">
        <f t="shared" si="15"/>
        <v>109.19644822240548</v>
      </c>
      <c r="N106" s="183">
        <f t="shared" si="15"/>
        <v>121.88464203222085</v>
      </c>
      <c r="O106" s="178">
        <f t="shared" ref="O106:O109" si="18">IF(H15="","",H15)</f>
        <v>96.895449480026912</v>
      </c>
      <c r="P106" s="179">
        <f t="shared" si="16"/>
        <v>109.58515150782176</v>
      </c>
      <c r="Q106" s="180">
        <f t="shared" si="16"/>
        <v>121.10874367936796</v>
      </c>
    </row>
    <row r="107" spans="2:17">
      <c r="B107" s="177">
        <v>-15</v>
      </c>
      <c r="C107" s="178">
        <f t="shared" si="13"/>
        <v>287.22151892719904</v>
      </c>
      <c r="D107" s="179">
        <f t="shared" si="13"/>
        <v>272.65077009986788</v>
      </c>
      <c r="E107" s="180">
        <f t="shared" si="13"/>
        <v>255.14601186816856</v>
      </c>
      <c r="F107" s="181">
        <f t="shared" si="17"/>
        <v>279.65586850230437</v>
      </c>
      <c r="G107" s="182">
        <f t="shared" si="14"/>
        <v>271.013594675462</v>
      </c>
      <c r="H107" s="183">
        <f t="shared" si="14"/>
        <v>262.34882951460065</v>
      </c>
      <c r="K107" s="177">
        <v>-15</v>
      </c>
      <c r="L107" s="181">
        <f t="shared" si="15"/>
        <v>115.05995677818866</v>
      </c>
      <c r="M107" s="182">
        <f t="shared" si="15"/>
        <v>133.50108571569834</v>
      </c>
      <c r="N107" s="183">
        <f t="shared" si="15"/>
        <v>151.94221465320805</v>
      </c>
      <c r="O107" s="178">
        <f t="shared" si="18"/>
        <v>114.49662584727415</v>
      </c>
      <c r="P107" s="179">
        <f t="shared" si="16"/>
        <v>134.04620086738089</v>
      </c>
      <c r="Q107" s="180">
        <f t="shared" si="16"/>
        <v>151.96043043243981</v>
      </c>
    </row>
    <row r="108" spans="2:17">
      <c r="B108" s="177">
        <v>-20</v>
      </c>
      <c r="C108" s="178" t="str">
        <f t="shared" si="13"/>
        <v/>
      </c>
      <c r="D108" s="179" t="str">
        <f t="shared" si="13"/>
        <v/>
      </c>
      <c r="E108" s="180" t="str">
        <f t="shared" si="13"/>
        <v/>
      </c>
      <c r="F108" s="181" t="str">
        <f t="shared" si="17"/>
        <v/>
      </c>
      <c r="G108" s="182" t="str">
        <f t="shared" si="14"/>
        <v/>
      </c>
      <c r="H108" s="183" t="str">
        <f t="shared" si="14"/>
        <v/>
      </c>
      <c r="K108" s="177">
        <v>-10</v>
      </c>
      <c r="L108" s="181" t="str">
        <f t="shared" si="15"/>
        <v/>
      </c>
      <c r="M108" s="182" t="str">
        <f t="shared" si="15"/>
        <v/>
      </c>
      <c r="N108" s="183" t="str">
        <f t="shared" si="15"/>
        <v/>
      </c>
      <c r="O108" s="178" t="str">
        <f t="shared" si="18"/>
        <v/>
      </c>
      <c r="P108" s="179" t="str">
        <f t="shared" si="16"/>
        <v/>
      </c>
      <c r="Q108" s="180" t="str">
        <f t="shared" si="16"/>
        <v/>
      </c>
    </row>
    <row r="109" spans="2:17" ht="15" thickBot="1">
      <c r="B109" s="184">
        <v>-15</v>
      </c>
      <c r="C109" s="185" t="str">
        <f t="shared" si="13"/>
        <v/>
      </c>
      <c r="D109" s="186" t="str">
        <f t="shared" si="13"/>
        <v/>
      </c>
      <c r="E109" s="187" t="str">
        <f t="shared" si="13"/>
        <v/>
      </c>
      <c r="F109" s="188" t="str">
        <f t="shared" si="17"/>
        <v/>
      </c>
      <c r="G109" s="189" t="str">
        <f t="shared" si="14"/>
        <v/>
      </c>
      <c r="H109" s="190" t="str">
        <f t="shared" si="14"/>
        <v/>
      </c>
      <c r="K109" s="184"/>
      <c r="L109" s="188" t="str">
        <f t="shared" si="15"/>
        <v/>
      </c>
      <c r="M109" s="189" t="str">
        <f t="shared" si="15"/>
        <v/>
      </c>
      <c r="N109" s="190" t="str">
        <f t="shared" si="15"/>
        <v/>
      </c>
      <c r="O109" s="185" t="str">
        <f t="shared" si="18"/>
        <v/>
      </c>
      <c r="P109" s="186" t="str">
        <f t="shared" si="16"/>
        <v/>
      </c>
      <c r="Q109" s="187" t="str">
        <f t="shared" si="16"/>
        <v/>
      </c>
    </row>
    <row r="110" spans="2:17">
      <c r="B110" s="154">
        <v>-10</v>
      </c>
      <c r="C110" s="45"/>
      <c r="D110" s="45"/>
      <c r="E110" s="45"/>
    </row>
  </sheetData>
  <mergeCells count="47">
    <mergeCell ref="C103:E103"/>
    <mergeCell ref="F103:H103"/>
    <mergeCell ref="L103:N103"/>
    <mergeCell ref="O103:Q103"/>
    <mergeCell ref="D70:F70"/>
    <mergeCell ref="G70:I70"/>
    <mergeCell ref="J70:N70"/>
    <mergeCell ref="Q70:U70"/>
    <mergeCell ref="D71:F71"/>
    <mergeCell ref="G71:I71"/>
    <mergeCell ref="J71:N71"/>
    <mergeCell ref="Q71:U71"/>
    <mergeCell ref="C57:G57"/>
    <mergeCell ref="J57:N57"/>
    <mergeCell ref="Q57:U57"/>
    <mergeCell ref="C58:G58"/>
    <mergeCell ref="J58:N58"/>
    <mergeCell ref="Q58:U58"/>
    <mergeCell ref="C40:G40"/>
    <mergeCell ref="I40:N40"/>
    <mergeCell ref="Q40:U40"/>
    <mergeCell ref="C41:G41"/>
    <mergeCell ref="I41:M41"/>
    <mergeCell ref="Q41:U41"/>
    <mergeCell ref="A24:E24"/>
    <mergeCell ref="F24:J24"/>
    <mergeCell ref="K24:O24"/>
    <mergeCell ref="Q24:U24"/>
    <mergeCell ref="A27:A32"/>
    <mergeCell ref="F27:F32"/>
    <mergeCell ref="K27:K32"/>
    <mergeCell ref="Q27:Q32"/>
    <mergeCell ref="R8:S8"/>
    <mergeCell ref="A11:E11"/>
    <mergeCell ref="F11:J11"/>
    <mergeCell ref="K11:O11"/>
    <mergeCell ref="Q11:U11"/>
    <mergeCell ref="A14:A19"/>
    <mergeCell ref="F14:F19"/>
    <mergeCell ref="K14:K19"/>
    <mergeCell ref="Q14:Q19"/>
    <mergeCell ref="D3:E3"/>
    <mergeCell ref="B4:C4"/>
    <mergeCell ref="R4:S4"/>
    <mergeCell ref="R5:S5"/>
    <mergeCell ref="R6:S6"/>
    <mergeCell ref="R7:S7"/>
  </mergeCells>
  <printOptions gridLinesSet="0"/>
  <pageMargins left="0.47" right="0.28000000000000003" top="0.69" bottom="0.42" header="0.38" footer="0.21"/>
  <pageSetup paperSize="9" scale="72" orientation="landscape" horizontalDpi="4294967292" r:id="rId1"/>
  <headerFooter alignWithMargins="0">
    <oddFooter>&amp;C- &amp;P / &amp;N -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Line="0" autoPict="0" macro="[0]!Record2">
                <anchor moveWithCells="1" sizeWithCells="1">
                  <from>
                    <xdr:col>5</xdr:col>
                    <xdr:colOff>91440</xdr:colOff>
                    <xdr:row>7</xdr:row>
                    <xdr:rowOff>45720</xdr:rowOff>
                  </from>
                  <to>
                    <xdr:col>6</xdr:col>
                    <xdr:colOff>579120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7D8C7-FDFD-457A-930D-A8007D10AF72}">
  <sheetPr codeName="Sheet4"/>
  <dimension ref="A1:U110"/>
  <sheetViews>
    <sheetView showGridLines="0" tabSelected="1" zoomScaleNormal="100" workbookViewId="0">
      <selection activeCell="E14" sqref="E14:E16"/>
    </sheetView>
    <sheetView workbookViewId="1"/>
  </sheetViews>
  <sheetFormatPr defaultRowHeight="14.4"/>
  <cols>
    <col min="1" max="1" width="10.44140625" style="1" customWidth="1"/>
    <col min="2" max="2" width="9.6640625" style="1" customWidth="1"/>
    <col min="3" max="3" width="14.44140625" style="1" bestFit="1" customWidth="1"/>
    <col min="4" max="4" width="9.109375" style="1" bestFit="1" customWidth="1"/>
    <col min="5" max="5" width="13" style="1" bestFit="1" customWidth="1"/>
    <col min="6" max="6" width="9.21875" style="1" customWidth="1"/>
    <col min="7" max="7" width="9.88671875" style="1" customWidth="1"/>
    <col min="8" max="8" width="9.6640625" style="1" customWidth="1"/>
    <col min="9" max="9" width="9.109375" style="1" bestFit="1" customWidth="1"/>
    <col min="10" max="10" width="9.6640625" style="1" bestFit="1" customWidth="1"/>
    <col min="11" max="11" width="8" style="1" customWidth="1"/>
    <col min="12" max="14" width="9.109375" style="1" bestFit="1" customWidth="1"/>
    <col min="15" max="15" width="13.109375" style="1" customWidth="1"/>
    <col min="16" max="16" width="9" style="1" customWidth="1"/>
    <col min="17" max="17" width="9.77734375" style="1" customWidth="1"/>
    <col min="18" max="18" width="8.44140625" style="1" customWidth="1"/>
    <col min="19" max="20" width="9.109375" style="1" bestFit="1" customWidth="1"/>
    <col min="21" max="16384" width="8.88671875" style="1"/>
  </cols>
  <sheetData>
    <row r="1" spans="1:21">
      <c r="B1" s="2" t="s">
        <v>61</v>
      </c>
      <c r="C1" s="3"/>
      <c r="D1" s="3"/>
      <c r="E1" s="3"/>
      <c r="F1" s="4"/>
    </row>
    <row r="2" spans="1:21">
      <c r="N2" s="1" t="s">
        <v>73</v>
      </c>
      <c r="Q2" s="1" t="s">
        <v>74</v>
      </c>
    </row>
    <row r="3" spans="1:21">
      <c r="B3" s="5" t="s">
        <v>62</v>
      </c>
      <c r="C3" s="6"/>
      <c r="D3" s="208" t="s">
        <v>26</v>
      </c>
      <c r="E3" s="209"/>
      <c r="F3" s="7">
        <v>2</v>
      </c>
      <c r="G3" s="1" t="s">
        <v>57</v>
      </c>
      <c r="H3" s="8"/>
      <c r="I3" s="9"/>
      <c r="K3" s="10" t="s">
        <v>64</v>
      </c>
      <c r="N3" s="1" t="s">
        <v>35</v>
      </c>
      <c r="Q3" s="1" t="s">
        <v>36</v>
      </c>
    </row>
    <row r="4" spans="1:21">
      <c r="B4" s="199" t="s">
        <v>43</v>
      </c>
      <c r="C4" s="200"/>
      <c r="D4" s="11">
        <v>9</v>
      </c>
      <c r="E4" s="12" t="s">
        <v>1</v>
      </c>
      <c r="G4" s="8" t="s">
        <v>49</v>
      </c>
      <c r="H4" s="8"/>
      <c r="N4" s="13" t="s">
        <v>27</v>
      </c>
      <c r="O4" s="14">
        <f>B21</f>
        <v>1.0179879378091299</v>
      </c>
      <c r="Q4" s="15" t="s">
        <v>30</v>
      </c>
      <c r="R4" s="210">
        <f>B22</f>
        <v>31.561954059164169</v>
      </c>
      <c r="S4" s="210"/>
    </row>
    <row r="5" spans="1:21">
      <c r="B5" s="16" t="s">
        <v>44</v>
      </c>
      <c r="C5" s="17"/>
      <c r="D5" s="11">
        <v>3000</v>
      </c>
      <c r="E5" s="12" t="s">
        <v>3</v>
      </c>
      <c r="G5" s="5" t="s">
        <v>48</v>
      </c>
      <c r="H5" s="6"/>
      <c r="I5" s="18">
        <v>142.44549092010328</v>
      </c>
      <c r="J5" s="19" t="s">
        <v>0</v>
      </c>
      <c r="K5" s="20">
        <f>I5/0.86</f>
        <v>165.63429176756196</v>
      </c>
      <c r="L5" s="21" t="s">
        <v>19</v>
      </c>
      <c r="N5" s="13" t="s">
        <v>28</v>
      </c>
      <c r="O5" s="22">
        <f>C21</f>
        <v>5.0613299830939472E-3</v>
      </c>
      <c r="Q5" s="15" t="s">
        <v>31</v>
      </c>
      <c r="R5" s="215">
        <f>C22</f>
        <v>-0.35339827352025893</v>
      </c>
      <c r="S5" s="216"/>
    </row>
    <row r="6" spans="1:21">
      <c r="B6" s="23" t="s">
        <v>45</v>
      </c>
      <c r="C6" s="17"/>
      <c r="D6" s="11">
        <v>3</v>
      </c>
      <c r="E6" s="12" t="s">
        <v>58</v>
      </c>
      <c r="G6" s="24" t="s">
        <v>50</v>
      </c>
      <c r="H6" s="25"/>
      <c r="I6" s="26">
        <v>88.756844943966954</v>
      </c>
      <c r="J6" s="21" t="s">
        <v>2</v>
      </c>
      <c r="N6" s="13" t="s">
        <v>29</v>
      </c>
      <c r="O6" s="27">
        <f>E21</f>
        <v>-4.255924038512534E-2</v>
      </c>
      <c r="Q6" s="15" t="s">
        <v>32</v>
      </c>
      <c r="R6" s="217">
        <f>E22</f>
        <v>1.9024318241192311</v>
      </c>
      <c r="S6" s="218"/>
    </row>
    <row r="7" spans="1:21">
      <c r="B7" s="23" t="s">
        <v>46</v>
      </c>
      <c r="C7" s="17"/>
      <c r="D7" s="11">
        <v>3</v>
      </c>
      <c r="E7" s="12" t="s">
        <v>58</v>
      </c>
      <c r="G7" s="5" t="s">
        <v>4</v>
      </c>
      <c r="H7" s="6"/>
      <c r="I7" s="28">
        <f>I5/I6/0.86</f>
        <v>1.866157949531988</v>
      </c>
      <c r="J7" s="21"/>
      <c r="Q7" s="15" t="s">
        <v>34</v>
      </c>
      <c r="R7" s="219">
        <f>G22</f>
        <v>4.0429818737930598E-2</v>
      </c>
      <c r="S7" s="220"/>
    </row>
    <row r="8" spans="1:21">
      <c r="B8" s="29" t="s">
        <v>47</v>
      </c>
      <c r="C8" s="25"/>
      <c r="D8" s="30">
        <v>9</v>
      </c>
      <c r="E8" s="12" t="s">
        <v>58</v>
      </c>
      <c r="Q8" s="15" t="s">
        <v>33</v>
      </c>
      <c r="R8" s="221">
        <f>I22</f>
        <v>-6.0527478376901853E-3</v>
      </c>
      <c r="S8" s="222"/>
    </row>
    <row r="9" spans="1:21">
      <c r="B9" s="31"/>
      <c r="C9" s="21"/>
      <c r="D9" s="30" t="s">
        <v>21</v>
      </c>
      <c r="E9" s="15"/>
      <c r="H9" s="1" t="s">
        <v>63</v>
      </c>
    </row>
    <row r="10" spans="1:21">
      <c r="Q10" s="4"/>
    </row>
    <row r="11" spans="1:21" ht="15.75" customHeight="1">
      <c r="A11" s="196" t="s">
        <v>78</v>
      </c>
      <c r="B11" s="197"/>
      <c r="C11" s="197"/>
      <c r="D11" s="197"/>
      <c r="E11" s="197"/>
      <c r="F11" s="211" t="s">
        <v>76</v>
      </c>
      <c r="G11" s="197"/>
      <c r="H11" s="197"/>
      <c r="I11" s="197"/>
      <c r="J11" s="198"/>
      <c r="K11" s="211" t="s">
        <v>51</v>
      </c>
      <c r="L11" s="197"/>
      <c r="M11" s="197"/>
      <c r="N11" s="197"/>
      <c r="O11" s="198"/>
      <c r="Q11" s="196" t="s">
        <v>18</v>
      </c>
      <c r="R11" s="197"/>
      <c r="S11" s="197"/>
      <c r="T11" s="197"/>
      <c r="U11" s="198"/>
    </row>
    <row r="12" spans="1:21">
      <c r="A12" s="32"/>
      <c r="B12" s="33"/>
      <c r="C12" s="34" t="s">
        <v>75</v>
      </c>
      <c r="D12" s="34"/>
      <c r="E12" s="34"/>
      <c r="F12" s="35"/>
      <c r="G12" s="33"/>
      <c r="H12" s="5" t="s">
        <v>52</v>
      </c>
      <c r="I12" s="34"/>
      <c r="J12" s="6"/>
      <c r="K12" s="35"/>
      <c r="L12" s="33"/>
      <c r="M12" s="5" t="s">
        <v>52</v>
      </c>
      <c r="N12" s="34"/>
      <c r="O12" s="6"/>
      <c r="P12" s="36"/>
      <c r="Q12" s="37"/>
      <c r="R12" s="38"/>
      <c r="S12" s="5" t="s">
        <v>52</v>
      </c>
      <c r="T12" s="34"/>
      <c r="U12" s="6"/>
    </row>
    <row r="13" spans="1:21" ht="15.6">
      <c r="A13" s="39"/>
      <c r="B13" s="40"/>
      <c r="C13" s="41">
        <v>35</v>
      </c>
      <c r="D13" s="41">
        <v>45</v>
      </c>
      <c r="E13" s="41">
        <v>55</v>
      </c>
      <c r="F13" s="42"/>
      <c r="G13" s="40"/>
      <c r="H13" s="43">
        <f>C13</f>
        <v>35</v>
      </c>
      <c r="I13" s="43">
        <f>D13</f>
        <v>45</v>
      </c>
      <c r="J13" s="44">
        <f>E13</f>
        <v>55</v>
      </c>
      <c r="K13" s="42"/>
      <c r="L13" s="40"/>
      <c r="M13" s="43">
        <v>35</v>
      </c>
      <c r="N13" s="43">
        <v>45</v>
      </c>
      <c r="O13" s="43">
        <v>55</v>
      </c>
      <c r="P13" s="45"/>
      <c r="Q13" s="46"/>
      <c r="R13" s="47"/>
      <c r="S13" s="48">
        <f>IF(C13="","",C13)</f>
        <v>35</v>
      </c>
      <c r="T13" s="48">
        <f t="shared" ref="T13:U13" si="0">IF(D13="","",D13)</f>
        <v>45</v>
      </c>
      <c r="U13" s="48">
        <f t="shared" si="0"/>
        <v>55</v>
      </c>
    </row>
    <row r="14" spans="1:21" ht="15.6">
      <c r="A14" s="193" t="s">
        <v>56</v>
      </c>
      <c r="B14" s="49">
        <v>-35</v>
      </c>
      <c r="C14" s="191">
        <v>101.67976645399402</v>
      </c>
      <c r="D14" s="191">
        <v>93.071003135765352</v>
      </c>
      <c r="E14" s="191">
        <v>84.455253001203857</v>
      </c>
      <c r="F14" s="193" t="s">
        <v>77</v>
      </c>
      <c r="G14" s="51">
        <f>IF(B14="","",B14)</f>
        <v>-35</v>
      </c>
      <c r="H14" s="192">
        <v>53.288893500674192</v>
      </c>
      <c r="I14" s="192">
        <v>58.611992207973564</v>
      </c>
      <c r="J14" s="192">
        <v>63.445349604334389</v>
      </c>
      <c r="K14" s="193" t="s">
        <v>56</v>
      </c>
      <c r="L14" s="51">
        <v>-35</v>
      </c>
      <c r="M14" s="53">
        <v>0.91915020130259784</v>
      </c>
      <c r="N14" s="53">
        <v>0.84132993466679173</v>
      </c>
      <c r="O14" s="53">
        <v>0.76344650960859017</v>
      </c>
      <c r="P14" s="45"/>
      <c r="Q14" s="193" t="s">
        <v>56</v>
      </c>
      <c r="R14" s="54">
        <f>IF(B14="","",B14)</f>
        <v>-35</v>
      </c>
      <c r="S14" s="55">
        <f>IF(C14="","",C14/H14)</f>
        <v>1.9080855272911157</v>
      </c>
      <c r="T14" s="55">
        <f t="shared" ref="T14:U19" si="1">IF(D14="","",D14/I14)</f>
        <v>1.587917414673784</v>
      </c>
      <c r="U14" s="55">
        <f t="shared" si="1"/>
        <v>1.3311496197576966</v>
      </c>
    </row>
    <row r="15" spans="1:21" ht="15.6">
      <c r="A15" s="194"/>
      <c r="B15" s="49">
        <v>-25</v>
      </c>
      <c r="C15" s="191">
        <v>150.06645720366623</v>
      </c>
      <c r="D15" s="191">
        <v>141.44884307488428</v>
      </c>
      <c r="E15" s="191">
        <v>132.81900053146808</v>
      </c>
      <c r="F15" s="194"/>
      <c r="G15" s="51">
        <f t="shared" ref="G15:G19" si="2">IF(B15="","",B15)</f>
        <v>-25</v>
      </c>
      <c r="H15" s="192">
        <v>68.095074462929205</v>
      </c>
      <c r="I15" s="192">
        <v>77.012997947800315</v>
      </c>
      <c r="J15" s="192">
        <v>85.111416100694257</v>
      </c>
      <c r="K15" s="194"/>
      <c r="L15" s="51">
        <v>-25</v>
      </c>
      <c r="M15" s="56">
        <v>0.84819624955948913</v>
      </c>
      <c r="N15" s="56">
        <v>0.7994883096214952</v>
      </c>
      <c r="O15" s="56">
        <v>0.75071125300263797</v>
      </c>
      <c r="P15" s="45"/>
      <c r="Q15" s="194"/>
      <c r="R15" s="54">
        <f t="shared" ref="R15:R19" si="3">IF(B15="","",B15)</f>
        <v>-25</v>
      </c>
      <c r="S15" s="55">
        <f t="shared" ref="S15:S19" si="4">IF(C15="","",C15/H15)</f>
        <v>2.2037784434080039</v>
      </c>
      <c r="T15" s="55">
        <f t="shared" si="1"/>
        <v>1.8366879207943418</v>
      </c>
      <c r="U15" s="55">
        <f t="shared" si="1"/>
        <v>1.560530967718027</v>
      </c>
    </row>
    <row r="16" spans="1:21" ht="15.6">
      <c r="A16" s="194"/>
      <c r="B16" s="49">
        <v>-15</v>
      </c>
      <c r="C16" s="191">
        <v>220.94586995295271</v>
      </c>
      <c r="D16" s="191">
        <v>212.31303400373096</v>
      </c>
      <c r="E16" s="191">
        <v>203.66272804157356</v>
      </c>
      <c r="F16" s="194"/>
      <c r="G16" s="51">
        <f t="shared" si="2"/>
        <v>-15</v>
      </c>
      <c r="H16" s="192">
        <v>80.464627644164096</v>
      </c>
      <c r="I16" s="192">
        <v>94.203454120088495</v>
      </c>
      <c r="J16" s="192">
        <v>106.79301124299701</v>
      </c>
      <c r="K16" s="194"/>
      <c r="L16" s="51">
        <v>-15</v>
      </c>
      <c r="M16" s="56">
        <v>0.8131883670629344</v>
      </c>
      <c r="N16" s="56">
        <v>0.78141532794631885</v>
      </c>
      <c r="O16" s="56">
        <v>0.74957799067697128</v>
      </c>
      <c r="P16" s="45"/>
      <c r="Q16" s="194"/>
      <c r="R16" s="54">
        <f t="shared" si="3"/>
        <v>-15</v>
      </c>
      <c r="S16" s="55">
        <f t="shared" si="4"/>
        <v>2.7458757521383665</v>
      </c>
      <c r="T16" s="55">
        <f t="shared" si="1"/>
        <v>2.2537712230071625</v>
      </c>
      <c r="U16" s="55">
        <f t="shared" si="1"/>
        <v>1.9070791774768765</v>
      </c>
    </row>
    <row r="17" spans="1:21" ht="15.6">
      <c r="A17" s="194"/>
      <c r="B17" s="49"/>
      <c r="C17" s="50"/>
      <c r="D17" s="50"/>
      <c r="E17" s="50"/>
      <c r="F17" s="194"/>
      <c r="G17" s="51" t="str">
        <f t="shared" si="2"/>
        <v/>
      </c>
      <c r="H17" s="52"/>
      <c r="I17" s="52"/>
      <c r="J17" s="52"/>
      <c r="K17" s="194"/>
      <c r="L17" s="51"/>
      <c r="M17" s="56"/>
      <c r="N17" s="56"/>
      <c r="O17" s="56"/>
      <c r="P17" s="45"/>
      <c r="Q17" s="194"/>
      <c r="R17" s="54" t="str">
        <f t="shared" si="3"/>
        <v/>
      </c>
      <c r="S17" s="55" t="str">
        <f t="shared" si="4"/>
        <v/>
      </c>
      <c r="T17" s="55" t="str">
        <f t="shared" si="1"/>
        <v/>
      </c>
      <c r="U17" s="55" t="str">
        <f t="shared" si="1"/>
        <v/>
      </c>
    </row>
    <row r="18" spans="1:21" ht="15.6">
      <c r="A18" s="194"/>
      <c r="B18" s="49"/>
      <c r="C18" s="57"/>
      <c r="D18" s="57"/>
      <c r="E18" s="57"/>
      <c r="F18" s="194"/>
      <c r="G18" s="51" t="str">
        <f t="shared" si="2"/>
        <v/>
      </c>
      <c r="H18" s="58"/>
      <c r="I18" s="58"/>
      <c r="J18" s="58"/>
      <c r="K18" s="194"/>
      <c r="L18" s="51"/>
      <c r="M18" s="56"/>
      <c r="N18" s="56"/>
      <c r="O18" s="56"/>
      <c r="P18" s="45"/>
      <c r="Q18" s="194"/>
      <c r="R18" s="54" t="str">
        <f t="shared" si="3"/>
        <v/>
      </c>
      <c r="S18" s="55" t="str">
        <f t="shared" si="4"/>
        <v/>
      </c>
      <c r="T18" s="55" t="str">
        <f t="shared" si="1"/>
        <v/>
      </c>
      <c r="U18" s="55" t="str">
        <f t="shared" si="1"/>
        <v/>
      </c>
    </row>
    <row r="19" spans="1:21" ht="13.5" customHeight="1">
      <c r="A19" s="195"/>
      <c r="B19" s="49"/>
      <c r="C19" s="59"/>
      <c r="D19" s="60"/>
      <c r="E19" s="61"/>
      <c r="F19" s="195"/>
      <c r="G19" s="51" t="str">
        <f t="shared" si="2"/>
        <v/>
      </c>
      <c r="H19" s="58"/>
      <c r="I19" s="58"/>
      <c r="J19" s="58"/>
      <c r="K19" s="195"/>
      <c r="L19" s="51"/>
      <c r="M19" s="56"/>
      <c r="N19" s="56"/>
      <c r="O19" s="56"/>
      <c r="P19" s="45"/>
      <c r="Q19" s="195"/>
      <c r="R19" s="54" t="str">
        <f t="shared" si="3"/>
        <v/>
      </c>
      <c r="S19" s="55" t="str">
        <f t="shared" si="4"/>
        <v/>
      </c>
      <c r="T19" s="55" t="str">
        <f t="shared" si="1"/>
        <v/>
      </c>
      <c r="U19" s="55" t="str">
        <f t="shared" si="1"/>
        <v/>
      </c>
    </row>
    <row r="20" spans="1:21" ht="13.5" customHeight="1">
      <c r="B20" s="62"/>
      <c r="D20" s="8"/>
      <c r="E20" s="8"/>
      <c r="F20" s="8"/>
      <c r="G20" s="63"/>
      <c r="H20" s="63"/>
      <c r="P20" s="45"/>
      <c r="Q20" s="45"/>
      <c r="R20" s="45"/>
    </row>
    <row r="21" spans="1:21">
      <c r="A21" s="64" t="s">
        <v>65</v>
      </c>
      <c r="B21" s="65">
        <v>1.0179879378091299</v>
      </c>
      <c r="C21" s="66">
        <v>5.0613299830939472E-3</v>
      </c>
      <c r="D21" s="65" t="s">
        <v>66</v>
      </c>
      <c r="E21" s="67">
        <v>-4.255924038512534E-2</v>
      </c>
      <c r="F21" s="68" t="s">
        <v>67</v>
      </c>
      <c r="G21" s="69"/>
      <c r="H21" s="70"/>
      <c r="I21" s="71"/>
      <c r="J21" s="71"/>
      <c r="K21" s="71"/>
    </row>
    <row r="22" spans="1:21">
      <c r="A22" s="64" t="s">
        <v>68</v>
      </c>
      <c r="B22" s="72">
        <v>31.561954059164169</v>
      </c>
      <c r="C22" s="73">
        <v>-0.35339827352025893</v>
      </c>
      <c r="D22" s="74" t="s">
        <v>69</v>
      </c>
      <c r="E22" s="75">
        <v>1.9024318241192311</v>
      </c>
      <c r="F22" s="76" t="s">
        <v>70</v>
      </c>
      <c r="G22" s="77">
        <v>4.0429818737930598E-2</v>
      </c>
      <c r="H22" s="70" t="s">
        <v>71</v>
      </c>
      <c r="I22" s="71">
        <v>-6.0527478376901853E-3</v>
      </c>
      <c r="J22" s="71" t="s">
        <v>72</v>
      </c>
      <c r="K22" s="71"/>
    </row>
    <row r="23" spans="1:21">
      <c r="A23" s="71" t="s">
        <v>60</v>
      </c>
      <c r="F23" s="62"/>
      <c r="G23" s="63"/>
      <c r="H23" s="78"/>
    </row>
    <row r="24" spans="1:21">
      <c r="A24" s="196" t="s">
        <v>42</v>
      </c>
      <c r="B24" s="197"/>
      <c r="C24" s="197"/>
      <c r="D24" s="197"/>
      <c r="E24" s="197"/>
      <c r="F24" s="211" t="s">
        <v>41</v>
      </c>
      <c r="G24" s="197"/>
      <c r="H24" s="197"/>
      <c r="I24" s="197"/>
      <c r="J24" s="198"/>
      <c r="K24" s="211" t="s">
        <v>51</v>
      </c>
      <c r="L24" s="197"/>
      <c r="M24" s="197"/>
      <c r="N24" s="197"/>
      <c r="O24" s="198"/>
      <c r="Q24" s="196" t="s">
        <v>18</v>
      </c>
      <c r="R24" s="197"/>
      <c r="S24" s="197"/>
      <c r="T24" s="197"/>
      <c r="U24" s="198"/>
    </row>
    <row r="25" spans="1:21">
      <c r="A25" s="32"/>
      <c r="B25" s="33"/>
      <c r="C25" s="34" t="s">
        <v>52</v>
      </c>
      <c r="D25" s="34"/>
      <c r="E25" s="34"/>
      <c r="F25" s="35"/>
      <c r="G25" s="33"/>
      <c r="H25" s="34" t="s">
        <v>52</v>
      </c>
      <c r="I25" s="34"/>
      <c r="J25" s="34"/>
      <c r="K25" s="35"/>
      <c r="L25" s="33"/>
      <c r="M25" s="5" t="s">
        <v>52</v>
      </c>
      <c r="N25" s="34"/>
      <c r="O25" s="6"/>
      <c r="Q25" s="37"/>
      <c r="R25" s="38"/>
      <c r="S25" s="5" t="s">
        <v>52</v>
      </c>
      <c r="T25" s="34"/>
      <c r="U25" s="6"/>
    </row>
    <row r="26" spans="1:21" ht="15.6">
      <c r="A26" s="39"/>
      <c r="B26" s="40"/>
      <c r="C26" s="43">
        <v>35</v>
      </c>
      <c r="D26" s="43">
        <v>45</v>
      </c>
      <c r="E26" s="79">
        <v>55</v>
      </c>
      <c r="F26" s="42"/>
      <c r="G26" s="40"/>
      <c r="H26" s="43">
        <v>35</v>
      </c>
      <c r="I26" s="43">
        <v>45</v>
      </c>
      <c r="J26" s="44">
        <v>55</v>
      </c>
      <c r="K26" s="42"/>
      <c r="L26" s="40"/>
      <c r="M26" s="43">
        <v>35</v>
      </c>
      <c r="N26" s="43">
        <v>45</v>
      </c>
      <c r="O26" s="44">
        <v>55</v>
      </c>
      <c r="P26" s="80"/>
      <c r="Q26" s="46"/>
      <c r="R26" s="47"/>
      <c r="S26" s="48">
        <f>IF(C26="","",C26)</f>
        <v>35</v>
      </c>
      <c r="T26" s="48">
        <f t="shared" ref="T26:U26" si="5">IF(D26="","",D26)</f>
        <v>45</v>
      </c>
      <c r="U26" s="48">
        <f t="shared" si="5"/>
        <v>55</v>
      </c>
    </row>
    <row r="27" spans="1:21" ht="15.6">
      <c r="A27" s="193" t="s">
        <v>56</v>
      </c>
      <c r="B27" s="51">
        <v>-35</v>
      </c>
      <c r="C27" s="81">
        <v>97.279886774897577</v>
      </c>
      <c r="D27" s="82">
        <v>92.68241739208807</v>
      </c>
      <c r="E27" s="83">
        <v>87.15918787400291</v>
      </c>
      <c r="F27" s="193" t="s">
        <v>56</v>
      </c>
      <c r="G27" s="51">
        <v>-35</v>
      </c>
      <c r="H27" s="84">
        <v>53.574863421410853</v>
      </c>
      <c r="I27" s="84">
        <v>58.448745104327458</v>
      </c>
      <c r="J27" s="84">
        <v>63.322626787244047</v>
      </c>
      <c r="K27" s="193" t="s">
        <v>56</v>
      </c>
      <c r="L27" s="51">
        <v>-35</v>
      </c>
      <c r="M27" s="53">
        <v>0.87937679865047336</v>
      </c>
      <c r="N27" s="53">
        <v>0.83781725287197395</v>
      </c>
      <c r="O27" s="53">
        <v>0.78788915310902441</v>
      </c>
      <c r="P27" s="80"/>
      <c r="Q27" s="193"/>
      <c r="R27" s="54"/>
      <c r="S27" s="55"/>
      <c r="T27" s="55"/>
      <c r="U27" s="55">
        <f t="shared" ref="U27:U32" si="6">IF(E27="","",E27/J27)</f>
        <v>1.376430389832795</v>
      </c>
    </row>
    <row r="28" spans="1:21" ht="15.6">
      <c r="A28" s="194"/>
      <c r="B28" s="51">
        <v>-25</v>
      </c>
      <c r="C28" s="85">
        <v>151.27841028490329</v>
      </c>
      <c r="D28" s="86">
        <v>142.63486684641285</v>
      </c>
      <c r="E28" s="87">
        <v>132.25083374358707</v>
      </c>
      <c r="F28" s="194"/>
      <c r="G28" s="51">
        <v>-25</v>
      </c>
      <c r="H28" s="88">
        <v>67.822965947098098</v>
      </c>
      <c r="I28" s="88">
        <v>76.739829503807755</v>
      </c>
      <c r="J28" s="88">
        <v>85.656693060517412</v>
      </c>
      <c r="K28" s="194"/>
      <c r="L28" s="51">
        <v>-25</v>
      </c>
      <c r="M28" s="56">
        <v>0.85504637501258907</v>
      </c>
      <c r="N28" s="56">
        <v>0.80619187905096223</v>
      </c>
      <c r="O28" s="56">
        <v>0.74749989619722679</v>
      </c>
      <c r="P28" s="80"/>
      <c r="Q28" s="194"/>
      <c r="R28" s="54"/>
      <c r="S28" s="55"/>
      <c r="T28" s="55"/>
      <c r="U28" s="55">
        <f t="shared" si="6"/>
        <v>1.5439638050251412</v>
      </c>
    </row>
    <row r="29" spans="1:21" ht="15.6">
      <c r="A29" s="194"/>
      <c r="B29" s="51">
        <v>-15</v>
      </c>
      <c r="C29" s="85">
        <v>228.47262166185808</v>
      </c>
      <c r="D29" s="86">
        <v>214.04549904435882</v>
      </c>
      <c r="E29" s="87">
        <v>196.71328802410599</v>
      </c>
      <c r="F29" s="194"/>
      <c r="G29" s="51">
        <v>-15</v>
      </c>
      <c r="H29" s="88">
        <v>80.860518905247289</v>
      </c>
      <c r="I29" s="88">
        <v>93.820364335750014</v>
      </c>
      <c r="J29" s="88">
        <v>106.78020976625272</v>
      </c>
      <c r="K29" s="194"/>
      <c r="L29" s="51">
        <v>-15</v>
      </c>
      <c r="M29" s="56">
        <v>0.84089047768738834</v>
      </c>
      <c r="N29" s="56">
        <v>0.78779164273184421</v>
      </c>
      <c r="O29" s="56">
        <v>0.72400066813634334</v>
      </c>
      <c r="P29" s="80"/>
      <c r="Q29" s="194"/>
      <c r="R29" s="54"/>
      <c r="S29" s="55"/>
      <c r="T29" s="55"/>
      <c r="U29" s="55">
        <f t="shared" si="6"/>
        <v>1.8422260871627929</v>
      </c>
    </row>
    <row r="30" spans="1:21" ht="15.6">
      <c r="A30" s="194"/>
      <c r="B30" s="51"/>
      <c r="C30" s="85"/>
      <c r="D30" s="86"/>
      <c r="E30" s="87"/>
      <c r="F30" s="194"/>
      <c r="G30" s="51"/>
      <c r="H30" s="88"/>
      <c r="I30" s="88"/>
      <c r="J30" s="88"/>
      <c r="K30" s="194"/>
      <c r="L30" s="51"/>
      <c r="M30" s="56"/>
      <c r="N30" s="56"/>
      <c r="O30" s="56"/>
      <c r="P30" s="80"/>
      <c r="Q30" s="194"/>
      <c r="R30" s="54"/>
      <c r="S30" s="55"/>
      <c r="T30" s="55"/>
      <c r="U30" s="55" t="str">
        <f t="shared" si="6"/>
        <v/>
      </c>
    </row>
    <row r="31" spans="1:21" ht="15.6">
      <c r="A31" s="194"/>
      <c r="B31" s="51"/>
      <c r="C31" s="85"/>
      <c r="D31" s="86"/>
      <c r="E31" s="87"/>
      <c r="F31" s="194"/>
      <c r="G31" s="51"/>
      <c r="H31" s="88"/>
      <c r="I31" s="88"/>
      <c r="J31" s="88"/>
      <c r="K31" s="194"/>
      <c r="L31" s="51"/>
      <c r="M31" s="56"/>
      <c r="N31" s="56"/>
      <c r="O31" s="56"/>
      <c r="P31" s="80"/>
      <c r="Q31" s="194"/>
      <c r="R31" s="54"/>
      <c r="S31" s="55"/>
      <c r="T31" s="55"/>
      <c r="U31" s="55" t="str">
        <f t="shared" si="6"/>
        <v/>
      </c>
    </row>
    <row r="32" spans="1:21" ht="15.6">
      <c r="A32" s="195"/>
      <c r="B32" s="89"/>
      <c r="C32" s="85"/>
      <c r="D32" s="86"/>
      <c r="E32" s="87"/>
      <c r="F32" s="195"/>
      <c r="G32" s="51"/>
      <c r="H32" s="56"/>
      <c r="I32" s="56"/>
      <c r="J32" s="56"/>
      <c r="K32" s="195"/>
      <c r="L32" s="51"/>
      <c r="M32" s="56"/>
      <c r="N32" s="56"/>
      <c r="O32" s="56"/>
      <c r="P32" s="80"/>
      <c r="Q32" s="195"/>
      <c r="R32" s="54"/>
      <c r="S32" s="55"/>
      <c r="T32" s="55"/>
      <c r="U32" s="55" t="str">
        <f t="shared" si="6"/>
        <v/>
      </c>
    </row>
    <row r="33" spans="1:21">
      <c r="B33" s="8"/>
      <c r="C33" s="8"/>
      <c r="D33" s="62"/>
      <c r="E33" s="90"/>
      <c r="F33" s="62"/>
      <c r="G33" s="4"/>
      <c r="H33" s="62"/>
      <c r="I33" s="63"/>
      <c r="J33" s="63"/>
      <c r="K33" s="63"/>
      <c r="L33" s="63"/>
      <c r="M33" s="63"/>
    </row>
    <row r="34" spans="1:21">
      <c r="B34" s="8"/>
      <c r="C34" s="8"/>
      <c r="E34" s="90"/>
      <c r="G34" s="91"/>
      <c r="H34" s="92"/>
      <c r="I34" s="36"/>
    </row>
    <row r="35" spans="1:21" ht="20.100000000000001" customHeight="1">
      <c r="B35" s="8"/>
      <c r="C35" s="8"/>
      <c r="E35" s="90"/>
      <c r="G35" s="4"/>
      <c r="H35" s="92"/>
    </row>
    <row r="36" spans="1:21" ht="30" customHeight="1">
      <c r="B36" s="62"/>
      <c r="E36" s="90"/>
      <c r="G36" s="92"/>
      <c r="H36" s="92"/>
      <c r="I36" s="36"/>
    </row>
    <row r="37" spans="1:21" ht="20.100000000000001" customHeight="1">
      <c r="B37" s="62"/>
      <c r="G37" s="92"/>
      <c r="H37" s="93"/>
      <c r="I37" s="36"/>
      <c r="M37" s="94"/>
    </row>
    <row r="38" spans="1:21" ht="227.25" customHeight="1">
      <c r="B38" s="62"/>
      <c r="C38" s="95"/>
      <c r="D38" s="8"/>
      <c r="E38" s="8"/>
      <c r="F38" s="8"/>
      <c r="G38" s="92"/>
      <c r="H38" s="93"/>
      <c r="I38" s="36"/>
      <c r="K38" s="8"/>
      <c r="L38" s="8"/>
      <c r="M38" s="96"/>
      <c r="N38" s="8"/>
    </row>
    <row r="39" spans="1:21">
      <c r="B39" s="62"/>
      <c r="C39" s="95"/>
      <c r="D39" s="8" t="s">
        <v>22</v>
      </c>
      <c r="E39" s="8"/>
      <c r="F39" s="8"/>
      <c r="G39" s="92"/>
      <c r="H39" s="93"/>
      <c r="I39" s="36"/>
      <c r="K39" s="8"/>
      <c r="L39" s="8"/>
      <c r="M39" s="96"/>
      <c r="N39" s="8"/>
    </row>
    <row r="40" spans="1:21">
      <c r="B40" s="62"/>
      <c r="C40" s="202" t="s">
        <v>11</v>
      </c>
      <c r="D40" s="202"/>
      <c r="E40" s="202"/>
      <c r="F40" s="202"/>
      <c r="G40" s="202"/>
      <c r="H40" s="97"/>
      <c r="I40" s="197" t="s">
        <v>12</v>
      </c>
      <c r="J40" s="197"/>
      <c r="K40" s="197"/>
      <c r="L40" s="197"/>
      <c r="M40" s="197"/>
      <c r="N40" s="198"/>
      <c r="O40" s="97"/>
      <c r="P40" s="98"/>
      <c r="Q40" s="197" t="s">
        <v>18</v>
      </c>
      <c r="R40" s="197"/>
      <c r="S40" s="197"/>
      <c r="T40" s="197"/>
      <c r="U40" s="198"/>
    </row>
    <row r="41" spans="1:21">
      <c r="A41" s="99"/>
      <c r="B41" s="15"/>
      <c r="C41" s="203" t="s">
        <v>10</v>
      </c>
      <c r="D41" s="203"/>
      <c r="E41" s="203"/>
      <c r="F41" s="203"/>
      <c r="G41" s="203"/>
      <c r="H41" s="99"/>
      <c r="I41" s="203" t="s">
        <v>10</v>
      </c>
      <c r="J41" s="203"/>
      <c r="K41" s="203"/>
      <c r="L41" s="203"/>
      <c r="M41" s="203"/>
      <c r="O41" s="100"/>
      <c r="P41" s="101"/>
      <c r="Q41" s="212" t="s">
        <v>10</v>
      </c>
      <c r="R41" s="201"/>
      <c r="S41" s="201"/>
      <c r="T41" s="201"/>
      <c r="U41" s="213"/>
    </row>
    <row r="42" spans="1:21">
      <c r="A42" s="102"/>
      <c r="B42" s="15"/>
      <c r="C42" s="103">
        <v>35</v>
      </c>
      <c r="D42" s="103">
        <v>40</v>
      </c>
      <c r="E42" s="103">
        <v>45</v>
      </c>
      <c r="F42" s="103">
        <v>50</v>
      </c>
      <c r="G42" s="104">
        <v>55</v>
      </c>
      <c r="H42" s="102"/>
      <c r="I42" s="105"/>
      <c r="J42" s="106">
        <v>35</v>
      </c>
      <c r="K42" s="107">
        <v>40</v>
      </c>
      <c r="L42" s="107">
        <v>45</v>
      </c>
      <c r="M42" s="107">
        <v>50</v>
      </c>
      <c r="N42" s="107">
        <v>55</v>
      </c>
      <c r="O42" s="39"/>
      <c r="P42" s="108"/>
      <c r="Q42" s="48">
        <v>35</v>
      </c>
      <c r="R42" s="48">
        <v>40</v>
      </c>
      <c r="S42" s="48">
        <v>45</v>
      </c>
      <c r="T42" s="48">
        <v>50</v>
      </c>
      <c r="U42" s="48">
        <v>55</v>
      </c>
    </row>
    <row r="43" spans="1:21">
      <c r="A43" s="109"/>
      <c r="B43" s="110">
        <v>-32</v>
      </c>
      <c r="C43" s="111">
        <v>111.39177325527287</v>
      </c>
      <c r="D43" s="111">
        <v>108.69929295138319</v>
      </c>
      <c r="E43" s="111">
        <v>105.7368798320954</v>
      </c>
      <c r="F43" s="111">
        <v>102.48979160814156</v>
      </c>
      <c r="G43" s="112">
        <v>98.943300217774421</v>
      </c>
      <c r="H43" s="109"/>
      <c r="I43" s="113">
        <v>-32</v>
      </c>
      <c r="J43" s="114">
        <v>57.976401883708526</v>
      </c>
      <c r="K43" s="115">
        <v>61.019790006235773</v>
      </c>
      <c r="L43" s="115">
        <v>64.063178128763042</v>
      </c>
      <c r="M43" s="115">
        <v>67.106566251290303</v>
      </c>
      <c r="N43" s="115">
        <v>70.149954373817536</v>
      </c>
      <c r="O43" s="116"/>
      <c r="P43" s="117">
        <v>-32</v>
      </c>
      <c r="Q43" s="118">
        <f>C43/J43/0.86</f>
        <v>2.2341041101256445</v>
      </c>
      <c r="R43" s="118">
        <f t="shared" ref="R43:U50" si="7">D43/K43/0.86</f>
        <v>2.0713694143283399</v>
      </c>
      <c r="S43" s="118">
        <f t="shared" si="7"/>
        <v>1.9191970155267153</v>
      </c>
      <c r="T43" s="118">
        <f t="shared" si="7"/>
        <v>1.7758944160884591</v>
      </c>
      <c r="U43" s="118">
        <f t="shared" si="7"/>
        <v>1.6400630637241906</v>
      </c>
    </row>
    <row r="44" spans="1:21">
      <c r="A44" s="119" t="s">
        <v>6</v>
      </c>
      <c r="B44" s="120">
        <v>-30</v>
      </c>
      <c r="C44" s="121">
        <v>121.74798053272822</v>
      </c>
      <c r="D44" s="121">
        <v>118.68602486214739</v>
      </c>
      <c r="E44" s="121">
        <v>115.31709486993826</v>
      </c>
      <c r="F44" s="121">
        <v>111.62442525751867</v>
      </c>
      <c r="G44" s="122">
        <v>107.59126690619738</v>
      </c>
      <c r="H44" s="119" t="s">
        <v>6</v>
      </c>
      <c r="I44" s="123">
        <v>-30</v>
      </c>
      <c r="J44" s="124">
        <v>60.850233380196734</v>
      </c>
      <c r="K44" s="125">
        <v>64.297919690103285</v>
      </c>
      <c r="L44" s="125">
        <v>67.745606000009857</v>
      </c>
      <c r="M44" s="125">
        <v>71.19329230991643</v>
      </c>
      <c r="N44" s="125">
        <v>74.640978619822974</v>
      </c>
      <c r="O44" s="116" t="s">
        <v>6</v>
      </c>
      <c r="P44" s="126">
        <v>-30</v>
      </c>
      <c r="Q44" s="127">
        <f t="shared" ref="Q44:Q50" si="8">C44/J44/0.86</f>
        <v>2.3264893388260144</v>
      </c>
      <c r="R44" s="127">
        <f t="shared" si="7"/>
        <v>2.1463681300858908</v>
      </c>
      <c r="S44" s="127">
        <f t="shared" si="7"/>
        <v>1.979311325336482</v>
      </c>
      <c r="T44" s="127">
        <f t="shared" si="7"/>
        <v>1.8231470846673712</v>
      </c>
      <c r="U44" s="127">
        <f t="shared" si="7"/>
        <v>1.676105091638046</v>
      </c>
    </row>
    <row r="45" spans="1:21">
      <c r="A45" s="119" t="s">
        <v>7</v>
      </c>
      <c r="B45" s="120">
        <v>-28</v>
      </c>
      <c r="C45" s="121">
        <v>132.91353459170054</v>
      </c>
      <c r="D45" s="121">
        <v>129.45323474667393</v>
      </c>
      <c r="E45" s="121">
        <v>125.64602485073988</v>
      </c>
      <c r="F45" s="121">
        <v>121.4729585289906</v>
      </c>
      <c r="G45" s="122">
        <v>116.91510769132726</v>
      </c>
      <c r="H45" s="119" t="s">
        <v>7</v>
      </c>
      <c r="I45" s="123">
        <v>-28</v>
      </c>
      <c r="J45" s="124">
        <v>63.675642893983415</v>
      </c>
      <c r="K45" s="125">
        <v>67.527627391269306</v>
      </c>
      <c r="L45" s="125">
        <v>71.379611888555161</v>
      </c>
      <c r="M45" s="125">
        <v>75.231596385841044</v>
      </c>
      <c r="N45" s="125">
        <v>79.083580883126899</v>
      </c>
      <c r="O45" s="116" t="s">
        <v>7</v>
      </c>
      <c r="P45" s="126">
        <v>-28</v>
      </c>
      <c r="Q45" s="127">
        <f t="shared" si="8"/>
        <v>2.4271544753081655</v>
      </c>
      <c r="R45" s="127">
        <f t="shared" si="7"/>
        <v>2.2291175177103439</v>
      </c>
      <c r="S45" s="127">
        <f t="shared" si="7"/>
        <v>2.0468033522557509</v>
      </c>
      <c r="T45" s="127">
        <f t="shared" si="7"/>
        <v>1.8775040406172239</v>
      </c>
      <c r="U45" s="127">
        <f t="shared" si="7"/>
        <v>1.7190395038129052</v>
      </c>
    </row>
    <row r="46" spans="1:21">
      <c r="A46" s="119" t="s">
        <v>8</v>
      </c>
      <c r="B46" s="120">
        <v>-26</v>
      </c>
      <c r="C46" s="121">
        <v>144.93351954564989</v>
      </c>
      <c r="D46" s="121">
        <v>141.04439968753616</v>
      </c>
      <c r="E46" s="121">
        <v>136.76537871437816</v>
      </c>
      <c r="F46" s="121">
        <v>132.07516230886441</v>
      </c>
      <c r="G46" s="122">
        <v>126.95247670444952</v>
      </c>
      <c r="H46" s="119" t="s">
        <v>8</v>
      </c>
      <c r="I46" s="123">
        <v>-26</v>
      </c>
      <c r="J46" s="124">
        <v>66.452630425068577</v>
      </c>
      <c r="K46" s="125">
        <v>70.708913109733757</v>
      </c>
      <c r="L46" s="125">
        <v>74.965195794398923</v>
      </c>
      <c r="M46" s="125">
        <v>79.221478479064089</v>
      </c>
      <c r="N46" s="125">
        <v>83.477761163729255</v>
      </c>
      <c r="O46" s="116" t="s">
        <v>8</v>
      </c>
      <c r="P46" s="126">
        <v>-26</v>
      </c>
      <c r="Q46" s="127">
        <f t="shared" si="8"/>
        <v>2.5360523312756631</v>
      </c>
      <c r="R46" s="127">
        <f t="shared" si="7"/>
        <v>2.3194404878097732</v>
      </c>
      <c r="S46" s="127">
        <f t="shared" si="7"/>
        <v>2.1213779067442902</v>
      </c>
      <c r="T46" s="127">
        <f t="shared" si="7"/>
        <v>1.9385622822877775</v>
      </c>
      <c r="U46" s="127">
        <f t="shared" si="7"/>
        <v>1.7683650938976327</v>
      </c>
    </row>
    <row r="47" spans="1:21">
      <c r="A47" s="119" t="s">
        <v>5</v>
      </c>
      <c r="B47" s="120">
        <v>-24</v>
      </c>
      <c r="C47" s="121">
        <v>157.85447763008781</v>
      </c>
      <c r="D47" s="121">
        <v>153.50440308545558</v>
      </c>
      <c r="E47" s="121">
        <v>148.71821472141013</v>
      </c>
      <c r="F47" s="121">
        <v>143.47209432944626</v>
      </c>
      <c r="G47" s="122">
        <v>137.74224668758748</v>
      </c>
      <c r="H47" s="119" t="s">
        <v>5</v>
      </c>
      <c r="I47" s="123">
        <v>-24</v>
      </c>
      <c r="J47" s="124">
        <v>69.181195973452219</v>
      </c>
      <c r="K47" s="125">
        <v>73.84177684549671</v>
      </c>
      <c r="L47" s="125">
        <v>78.502357717541187</v>
      </c>
      <c r="M47" s="125">
        <v>83.162938589585693</v>
      </c>
      <c r="N47" s="125">
        <v>87.823519461630156</v>
      </c>
      <c r="O47" s="116" t="s">
        <v>5</v>
      </c>
      <c r="P47" s="126">
        <v>-24</v>
      </c>
      <c r="Q47" s="127">
        <f t="shared" si="8"/>
        <v>2.6532024431170194</v>
      </c>
      <c r="R47" s="127">
        <f t="shared" si="7"/>
        <v>2.4172426448147912</v>
      </c>
      <c r="S47" s="127">
        <f t="shared" si="7"/>
        <v>2.2028402927083306</v>
      </c>
      <c r="T47" s="127">
        <f t="shared" si="7"/>
        <v>2.006038019958067</v>
      </c>
      <c r="U47" s="127">
        <f t="shared" si="7"/>
        <v>1.8237187954540757</v>
      </c>
    </row>
    <row r="48" spans="1:21">
      <c r="A48" s="128"/>
      <c r="B48" s="120">
        <v>-22</v>
      </c>
      <c r="C48" s="121">
        <v>171.72444066622</v>
      </c>
      <c r="D48" s="121">
        <v>166.87956502510625</v>
      </c>
      <c r="E48" s="121">
        <v>161.54896961097486</v>
      </c>
      <c r="F48" s="121">
        <v>155.70612700296968</v>
      </c>
      <c r="G48" s="122">
        <v>149.32453538137554</v>
      </c>
      <c r="H48" s="128"/>
      <c r="I48" s="123">
        <v>-22</v>
      </c>
      <c r="J48" s="124">
        <v>71.861339539134335</v>
      </c>
      <c r="K48" s="125">
        <v>76.926218598558123</v>
      </c>
      <c r="L48" s="125">
        <v>81.991097657981911</v>
      </c>
      <c r="M48" s="125">
        <v>87.055976717405699</v>
      </c>
      <c r="N48" s="125">
        <v>92.120855776829472</v>
      </c>
      <c r="O48" s="129"/>
      <c r="P48" s="126">
        <v>-22</v>
      </c>
      <c r="Q48" s="127">
        <f t="shared" si="8"/>
        <v>2.7786788202198971</v>
      </c>
      <c r="R48" s="127">
        <f t="shared" si="7"/>
        <v>2.5224950527697447</v>
      </c>
      <c r="S48" s="127">
        <f t="shared" si="7"/>
        <v>2.291073597601017</v>
      </c>
      <c r="T48" s="127">
        <f t="shared" si="7"/>
        <v>2.0797381509794195</v>
      </c>
      <c r="U48" s="127">
        <f t="shared" si="7"/>
        <v>1.8848411601457444</v>
      </c>
    </row>
    <row r="49" spans="1:21">
      <c r="A49" s="128"/>
      <c r="B49" s="120">
        <v>-20</v>
      </c>
      <c r="C49" s="121">
        <v>186.59296873220953</v>
      </c>
      <c r="D49" s="121">
        <v>181.21767959355469</v>
      </c>
      <c r="E49" s="121">
        <v>175.30349443078416</v>
      </c>
      <c r="F49" s="121">
        <v>168.82098162010243</v>
      </c>
      <c r="G49" s="122">
        <v>161.74073794164974</v>
      </c>
      <c r="H49" s="128"/>
      <c r="I49" s="123">
        <v>-20</v>
      </c>
      <c r="J49" s="124">
        <v>74.493061122114952</v>
      </c>
      <c r="K49" s="125">
        <v>79.962238368918037</v>
      </c>
      <c r="L49" s="125">
        <v>85.431415615721136</v>
      </c>
      <c r="M49" s="125">
        <v>90.900592862524235</v>
      </c>
      <c r="N49" s="125">
        <v>96.36977010932732</v>
      </c>
      <c r="O49" s="116" t="s">
        <v>9</v>
      </c>
      <c r="P49" s="126">
        <v>-20</v>
      </c>
      <c r="Q49" s="127">
        <f t="shared" si="8"/>
        <v>2.9126010533732094</v>
      </c>
      <c r="R49" s="127">
        <f t="shared" si="7"/>
        <v>2.6352217794773063</v>
      </c>
      <c r="S49" s="127">
        <f t="shared" si="7"/>
        <v>2.3860224148787732</v>
      </c>
      <c r="T49" s="127">
        <f t="shared" si="7"/>
        <v>2.159540007588328</v>
      </c>
      <c r="U49" s="127">
        <f t="shared" si="7"/>
        <v>1.9515520821538563</v>
      </c>
    </row>
    <row r="50" spans="1:21">
      <c r="A50" s="102"/>
      <c r="B50" s="130">
        <v>-18</v>
      </c>
      <c r="C50" s="131">
        <v>202.51119732277672</v>
      </c>
      <c r="D50" s="131">
        <v>196.56806038652576</v>
      </c>
      <c r="E50" s="131">
        <v>190.02909822429973</v>
      </c>
      <c r="F50" s="131">
        <v>182.8617700432294</v>
      </c>
      <c r="G50" s="132">
        <v>175.03356645498485</v>
      </c>
      <c r="H50" s="102"/>
      <c r="I50" s="133">
        <v>-18</v>
      </c>
      <c r="J50" s="134">
        <v>77.076360722394028</v>
      </c>
      <c r="K50" s="135">
        <v>82.949836156576424</v>
      </c>
      <c r="L50" s="135">
        <v>88.82331159075882</v>
      </c>
      <c r="M50" s="135">
        <v>94.69678702494123</v>
      </c>
      <c r="N50" s="135">
        <v>100.57026245912363</v>
      </c>
      <c r="O50" s="136"/>
      <c r="P50" s="137">
        <v>-18</v>
      </c>
      <c r="Q50" s="138">
        <f t="shared" si="8"/>
        <v>3.0551278526233889</v>
      </c>
      <c r="R50" s="138">
        <f t="shared" si="7"/>
        <v>2.7554908203303818</v>
      </c>
      <c r="S50" s="138">
        <f t="shared" si="7"/>
        <v>2.4876810349149738</v>
      </c>
      <c r="T50" s="138">
        <f t="shared" si="7"/>
        <v>2.2453767635278203</v>
      </c>
      <c r="U50" s="138">
        <f t="shared" si="7"/>
        <v>2.023733436485327</v>
      </c>
    </row>
    <row r="51" spans="1:21">
      <c r="B51" s="62"/>
      <c r="C51" s="95"/>
      <c r="D51" s="8"/>
      <c r="E51" s="8"/>
      <c r="F51" s="8"/>
      <c r="G51" s="92"/>
      <c r="H51" s="93"/>
      <c r="I51" s="36"/>
      <c r="K51" s="8"/>
      <c r="L51" s="8"/>
      <c r="M51" s="96"/>
      <c r="N51" s="8"/>
    </row>
    <row r="52" spans="1:21" hidden="1">
      <c r="B52" s="62"/>
      <c r="C52" s="95"/>
      <c r="D52" s="8"/>
      <c r="E52" s="8"/>
      <c r="F52" s="8"/>
      <c r="G52" s="92"/>
      <c r="H52" s="93"/>
      <c r="I52" s="36"/>
      <c r="K52" s="8"/>
      <c r="L52" s="8"/>
      <c r="M52" s="96"/>
      <c r="N52" s="8"/>
    </row>
    <row r="53" spans="1:21" hidden="1">
      <c r="B53" s="62"/>
      <c r="C53" s="95"/>
      <c r="D53" s="8"/>
      <c r="E53" s="8"/>
      <c r="F53" s="8"/>
      <c r="G53" s="92"/>
      <c r="H53" s="93"/>
      <c r="I53" s="36"/>
      <c r="K53" s="8"/>
      <c r="L53" s="8"/>
      <c r="M53" s="96"/>
      <c r="N53" s="8"/>
    </row>
    <row r="54" spans="1:21" hidden="1">
      <c r="B54" s="62"/>
      <c r="C54" s="95"/>
      <c r="D54" s="8"/>
      <c r="E54" s="8"/>
      <c r="F54" s="8"/>
      <c r="G54" s="92"/>
      <c r="H54" s="93"/>
      <c r="I54" s="36"/>
      <c r="K54" s="8"/>
      <c r="L54" s="8"/>
      <c r="M54" s="96"/>
      <c r="N54" s="8"/>
    </row>
    <row r="55" spans="1:21" hidden="1">
      <c r="B55" s="62"/>
      <c r="C55" s="8"/>
      <c r="D55" s="8"/>
      <c r="E55" s="8"/>
      <c r="F55" s="8"/>
      <c r="G55" s="36"/>
      <c r="H55" s="93"/>
      <c r="I55" s="36"/>
      <c r="K55" s="8"/>
      <c r="L55" s="8"/>
      <c r="M55" s="8"/>
      <c r="N55" s="8"/>
    </row>
    <row r="56" spans="1:21">
      <c r="B56" s="139"/>
      <c r="C56" s="139"/>
      <c r="D56" s="139"/>
      <c r="E56" s="139"/>
      <c r="F56" s="8"/>
      <c r="G56" s="36"/>
      <c r="H56" s="93"/>
      <c r="I56" s="36"/>
      <c r="K56" s="8"/>
      <c r="L56" s="8"/>
      <c r="M56" s="8"/>
      <c r="N56" s="8"/>
    </row>
    <row r="57" spans="1:21" ht="18" customHeight="1">
      <c r="A57" s="140"/>
      <c r="B57" s="141"/>
      <c r="C57" s="197" t="s">
        <v>25</v>
      </c>
      <c r="D57" s="197"/>
      <c r="E57" s="197"/>
      <c r="F57" s="197"/>
      <c r="G57" s="198"/>
      <c r="H57" s="97"/>
      <c r="I57" s="98"/>
      <c r="J57" s="197" t="s">
        <v>15</v>
      </c>
      <c r="K57" s="197"/>
      <c r="L57" s="197"/>
      <c r="M57" s="197"/>
      <c r="N57" s="198"/>
      <c r="O57" s="97"/>
      <c r="P57" s="98"/>
      <c r="Q57" s="197" t="s">
        <v>23</v>
      </c>
      <c r="R57" s="197"/>
      <c r="S57" s="197"/>
      <c r="T57" s="197"/>
      <c r="U57" s="198"/>
    </row>
    <row r="58" spans="1:21">
      <c r="A58" s="100"/>
      <c r="B58" s="101"/>
      <c r="C58" s="201" t="s">
        <v>10</v>
      </c>
      <c r="D58" s="201"/>
      <c r="E58" s="201"/>
      <c r="F58" s="201"/>
      <c r="G58" s="201"/>
      <c r="H58" s="100"/>
      <c r="I58" s="101"/>
      <c r="J58" s="212" t="s">
        <v>10</v>
      </c>
      <c r="K58" s="201"/>
      <c r="L58" s="201"/>
      <c r="M58" s="201"/>
      <c r="N58" s="213"/>
      <c r="O58" s="100"/>
      <c r="P58" s="101"/>
      <c r="Q58" s="212" t="s">
        <v>10</v>
      </c>
      <c r="R58" s="201"/>
      <c r="S58" s="201"/>
      <c r="T58" s="201"/>
      <c r="U58" s="213"/>
    </row>
    <row r="59" spans="1:21">
      <c r="A59" s="39"/>
      <c r="B59" s="108"/>
      <c r="C59" s="142">
        <v>35</v>
      </c>
      <c r="D59" s="142">
        <v>40</v>
      </c>
      <c r="E59" s="142">
        <v>45</v>
      </c>
      <c r="F59" s="142">
        <v>50</v>
      </c>
      <c r="G59" s="26">
        <v>55</v>
      </c>
      <c r="H59" s="39"/>
      <c r="I59" s="108"/>
      <c r="J59" s="143">
        <v>35</v>
      </c>
      <c r="K59" s="48">
        <v>40</v>
      </c>
      <c r="L59" s="48">
        <v>45</v>
      </c>
      <c r="M59" s="48">
        <v>50</v>
      </c>
      <c r="N59" s="48">
        <v>55</v>
      </c>
      <c r="O59" s="39"/>
      <c r="P59" s="108"/>
      <c r="Q59" s="48">
        <v>35</v>
      </c>
      <c r="R59" s="48">
        <v>40</v>
      </c>
      <c r="S59" s="48">
        <v>45</v>
      </c>
      <c r="T59" s="48">
        <v>50</v>
      </c>
      <c r="U59" s="48">
        <v>55</v>
      </c>
    </row>
    <row r="60" spans="1:21">
      <c r="A60" s="109"/>
      <c r="B60" s="110">
        <v>-32</v>
      </c>
      <c r="C60" s="144">
        <v>83.638382735815952</v>
      </c>
      <c r="D60" s="144">
        <v>77.539050966742536</v>
      </c>
      <c r="E60" s="144">
        <v>71.395264159636199</v>
      </c>
      <c r="F60" s="144">
        <v>65.23107741998983</v>
      </c>
      <c r="G60" s="145">
        <v>59.07424380704893</v>
      </c>
      <c r="H60" s="109"/>
      <c r="I60" s="113">
        <v>-32</v>
      </c>
      <c r="J60" s="146">
        <f>J43</f>
        <v>57.976401883708526</v>
      </c>
      <c r="K60" s="146">
        <f>K43</f>
        <v>61.019790006235773</v>
      </c>
      <c r="L60" s="146">
        <f>L43</f>
        <v>64.063178128763042</v>
      </c>
      <c r="M60" s="146">
        <f>M43</f>
        <v>67.106566251290303</v>
      </c>
      <c r="N60" s="146">
        <f>N43</f>
        <v>70.149954373817536</v>
      </c>
      <c r="O60" s="101"/>
      <c r="P60" s="117">
        <v>-32</v>
      </c>
      <c r="Q60" s="118">
        <f>C60/J60/0.86</f>
        <v>1.6774744595019102</v>
      </c>
      <c r="R60" s="118">
        <f t="shared" ref="R60:U67" si="9">D60/K60/0.86</f>
        <v>1.4775810792108102</v>
      </c>
      <c r="S60" s="118">
        <f t="shared" si="9"/>
        <v>1.2958730966480032</v>
      </c>
      <c r="T60" s="118">
        <f t="shared" si="9"/>
        <v>1.1302931182503406</v>
      </c>
      <c r="U60" s="118">
        <f t="shared" si="9"/>
        <v>0.97920207909108858</v>
      </c>
    </row>
    <row r="61" spans="1:21">
      <c r="A61" s="119" t="s">
        <v>6</v>
      </c>
      <c r="B61" s="120">
        <v>-30</v>
      </c>
      <c r="C61" s="147">
        <v>92.408496141012151</v>
      </c>
      <c r="D61" s="147">
        <v>85.630166358108596</v>
      </c>
      <c r="E61" s="147">
        <v>78.80183957139036</v>
      </c>
      <c r="F61" s="147">
        <v>71.950887670845148</v>
      </c>
      <c r="G61" s="148">
        <v>65.108889908737623</v>
      </c>
      <c r="H61" s="119" t="s">
        <v>6</v>
      </c>
      <c r="I61" s="123">
        <v>-30</v>
      </c>
      <c r="J61" s="149">
        <f t="shared" ref="J61:N67" si="10">J44</f>
        <v>60.850233380196734</v>
      </c>
      <c r="K61" s="149">
        <f t="shared" si="10"/>
        <v>64.297919690103285</v>
      </c>
      <c r="L61" s="149">
        <f t="shared" si="10"/>
        <v>67.745606000009857</v>
      </c>
      <c r="M61" s="149">
        <f t="shared" si="10"/>
        <v>71.19329230991643</v>
      </c>
      <c r="N61" s="149">
        <f t="shared" si="10"/>
        <v>74.640978619822974</v>
      </c>
      <c r="O61" s="101" t="s">
        <v>6</v>
      </c>
      <c r="P61" s="126">
        <v>-30</v>
      </c>
      <c r="Q61" s="127">
        <f t="shared" ref="Q61:Q67" si="11">C61/J61/0.86</f>
        <v>1.7658394015925125</v>
      </c>
      <c r="R61" s="127">
        <f t="shared" si="9"/>
        <v>1.548572043410098</v>
      </c>
      <c r="S61" s="127">
        <f t="shared" si="9"/>
        <v>1.3525607256835412</v>
      </c>
      <c r="T61" s="127">
        <f t="shared" si="9"/>
        <v>1.1751644032540733</v>
      </c>
      <c r="U61" s="127">
        <f t="shared" si="9"/>
        <v>1.0142955374071365</v>
      </c>
    </row>
    <row r="62" spans="1:21">
      <c r="A62" s="119" t="s">
        <v>7</v>
      </c>
      <c r="B62" s="120">
        <v>-28</v>
      </c>
      <c r="C62" s="147">
        <v>101.97637365677402</v>
      </c>
      <c r="D62" s="147">
        <v>94.460868053454931</v>
      </c>
      <c r="E62" s="147">
        <v>86.888937952297113</v>
      </c>
      <c r="F62" s="147">
        <v>79.29150998790162</v>
      </c>
      <c r="G62" s="148">
        <v>71.70426788668702</v>
      </c>
      <c r="H62" s="119" t="s">
        <v>7</v>
      </c>
      <c r="I62" s="123">
        <v>-28</v>
      </c>
      <c r="J62" s="149">
        <f t="shared" si="10"/>
        <v>63.675642893983415</v>
      </c>
      <c r="K62" s="149">
        <f t="shared" si="10"/>
        <v>67.527627391269306</v>
      </c>
      <c r="L62" s="149">
        <f t="shared" si="10"/>
        <v>71.379611888555161</v>
      </c>
      <c r="M62" s="149">
        <f t="shared" si="10"/>
        <v>75.231596385841044</v>
      </c>
      <c r="N62" s="149">
        <f t="shared" si="10"/>
        <v>79.083580883126899</v>
      </c>
      <c r="O62" s="101" t="s">
        <v>7</v>
      </c>
      <c r="P62" s="126">
        <v>-28</v>
      </c>
      <c r="Q62" s="127">
        <f t="shared" si="11"/>
        <v>1.8622062264544734</v>
      </c>
      <c r="R62" s="127">
        <f t="shared" si="9"/>
        <v>1.6265671238585397</v>
      </c>
      <c r="S62" s="127">
        <f t="shared" si="9"/>
        <v>1.4154412738960314</v>
      </c>
      <c r="T62" s="127">
        <f t="shared" si="9"/>
        <v>1.2255413236963111</v>
      </c>
      <c r="U62" s="127">
        <f t="shared" si="9"/>
        <v>1.0542903438504181</v>
      </c>
    </row>
    <row r="63" spans="1:21">
      <c r="A63" s="119" t="s">
        <v>8</v>
      </c>
      <c r="B63" s="120">
        <v>-26</v>
      </c>
      <c r="C63" s="147">
        <v>112.39902409255217</v>
      </c>
      <c r="D63" s="147">
        <v>104.08440769554241</v>
      </c>
      <c r="E63" s="147">
        <v>95.705963549207212</v>
      </c>
      <c r="F63" s="147">
        <v>87.298422638787841</v>
      </c>
      <c r="G63" s="148">
        <v>78.90186542790488</v>
      </c>
      <c r="H63" s="119" t="s">
        <v>8</v>
      </c>
      <c r="I63" s="123">
        <v>-26</v>
      </c>
      <c r="J63" s="149">
        <f t="shared" si="10"/>
        <v>66.452630425068577</v>
      </c>
      <c r="K63" s="149">
        <f t="shared" si="10"/>
        <v>70.708913109733757</v>
      </c>
      <c r="L63" s="149">
        <f t="shared" si="10"/>
        <v>74.965195794398923</v>
      </c>
      <c r="M63" s="149">
        <f t="shared" si="10"/>
        <v>79.221478479064089</v>
      </c>
      <c r="N63" s="149">
        <f t="shared" si="10"/>
        <v>83.477761163729255</v>
      </c>
      <c r="O63" s="101" t="s">
        <v>8</v>
      </c>
      <c r="P63" s="126">
        <v>-26</v>
      </c>
      <c r="Q63" s="127">
        <f t="shared" si="11"/>
        <v>1.9667624713497962</v>
      </c>
      <c r="R63" s="127">
        <f t="shared" si="9"/>
        <v>1.7116425033079412</v>
      </c>
      <c r="S63" s="127">
        <f t="shared" si="9"/>
        <v>1.4845022806610202</v>
      </c>
      <c r="T63" s="127">
        <f t="shared" si="9"/>
        <v>1.2813418244000385</v>
      </c>
      <c r="U63" s="127">
        <f t="shared" si="9"/>
        <v>1.0990514583732034</v>
      </c>
    </row>
    <row r="64" spans="1:21">
      <c r="A64" s="119" t="s">
        <v>5</v>
      </c>
      <c r="B64" s="120">
        <v>-24</v>
      </c>
      <c r="C64" s="147">
        <v>123.7364481564157</v>
      </c>
      <c r="D64" s="147">
        <v>114.55685622700258</v>
      </c>
      <c r="E64" s="147">
        <v>105.3049609825855</v>
      </c>
      <c r="F64" s="147">
        <v>96.019559299761283</v>
      </c>
      <c r="G64" s="148">
        <v>86.745435002652997</v>
      </c>
      <c r="H64" s="119" t="s">
        <v>5</v>
      </c>
      <c r="I64" s="123">
        <v>-24</v>
      </c>
      <c r="J64" s="149">
        <f t="shared" si="10"/>
        <v>69.181195973452219</v>
      </c>
      <c r="K64" s="149">
        <f t="shared" si="10"/>
        <v>73.84177684549671</v>
      </c>
      <c r="L64" s="149">
        <f t="shared" si="10"/>
        <v>78.502357717541187</v>
      </c>
      <c r="M64" s="149">
        <f t="shared" si="10"/>
        <v>83.162938589585693</v>
      </c>
      <c r="N64" s="149">
        <f t="shared" si="10"/>
        <v>87.823519461630156</v>
      </c>
      <c r="O64" s="101" t="s">
        <v>5</v>
      </c>
      <c r="P64" s="126">
        <v>-24</v>
      </c>
      <c r="Q64" s="127">
        <f t="shared" si="11"/>
        <v>2.0797499790949825</v>
      </c>
      <c r="R64" s="127">
        <f t="shared" si="9"/>
        <v>1.803933389283116</v>
      </c>
      <c r="S64" s="127">
        <f t="shared" si="9"/>
        <v>1.5597955604097398</v>
      </c>
      <c r="T64" s="127">
        <f t="shared" si="9"/>
        <v>1.3425529718179223</v>
      </c>
      <c r="U64" s="127">
        <f t="shared" si="9"/>
        <v>1.1485167698258121</v>
      </c>
    </row>
    <row r="65" spans="1:21">
      <c r="A65" s="128"/>
      <c r="B65" s="120">
        <v>-22</v>
      </c>
      <c r="C65" s="147">
        <v>136.05176711454396</v>
      </c>
      <c r="D65" s="147">
        <v>125.93722535188198</v>
      </c>
      <c r="E65" s="147">
        <v>115.74072922541241</v>
      </c>
      <c r="F65" s="147">
        <v>105.50541527690291</v>
      </c>
      <c r="G65" s="148">
        <v>95.281092066055905</v>
      </c>
      <c r="H65" s="128"/>
      <c r="I65" s="123">
        <v>-22</v>
      </c>
      <c r="J65" s="149">
        <f t="shared" si="10"/>
        <v>71.861339539134335</v>
      </c>
      <c r="K65" s="149">
        <f t="shared" si="10"/>
        <v>76.926218598558123</v>
      </c>
      <c r="L65" s="149">
        <f t="shared" si="10"/>
        <v>81.991097657981911</v>
      </c>
      <c r="M65" s="149">
        <f t="shared" si="10"/>
        <v>87.055976717405699</v>
      </c>
      <c r="N65" s="149">
        <f t="shared" si="10"/>
        <v>92.120855776829472</v>
      </c>
      <c r="O65" s="150"/>
      <c r="P65" s="126">
        <v>-22</v>
      </c>
      <c r="Q65" s="127">
        <f t="shared" si="11"/>
        <v>2.201458116666549</v>
      </c>
      <c r="R65" s="127">
        <f t="shared" si="9"/>
        <v>1.9036244962759696</v>
      </c>
      <c r="S65" s="127">
        <f t="shared" si="9"/>
        <v>1.6414250708870899</v>
      </c>
      <c r="T65" s="127">
        <f t="shared" si="9"/>
        <v>1.4092164612258125</v>
      </c>
      <c r="U65" s="127">
        <f t="shared" si="9"/>
        <v>1.2026806154197323</v>
      </c>
    </row>
    <row r="66" spans="1:21">
      <c r="A66" s="128"/>
      <c r="B66" s="120">
        <v>-20</v>
      </c>
      <c r="C66" s="147">
        <v>149.41136287562838</v>
      </c>
      <c r="D66" s="147">
        <v>138.28759962452293</v>
      </c>
      <c r="E66" s="147">
        <v>127.07094539701221</v>
      </c>
      <c r="F66" s="147">
        <v>115.80916271793991</v>
      </c>
      <c r="G66" s="148">
        <v>104.5574214176329</v>
      </c>
      <c r="H66" s="128"/>
      <c r="I66" s="123">
        <v>-20</v>
      </c>
      <c r="J66" s="149">
        <f t="shared" si="10"/>
        <v>74.493061122114952</v>
      </c>
      <c r="K66" s="149">
        <f t="shared" si="10"/>
        <v>79.962238368918037</v>
      </c>
      <c r="L66" s="149">
        <f t="shared" si="10"/>
        <v>85.431415615721136</v>
      </c>
      <c r="M66" s="149">
        <f t="shared" si="10"/>
        <v>90.900592862524235</v>
      </c>
      <c r="N66" s="149">
        <f t="shared" si="10"/>
        <v>96.36977010932732</v>
      </c>
      <c r="O66" s="101" t="s">
        <v>9</v>
      </c>
      <c r="P66" s="126">
        <v>-20</v>
      </c>
      <c r="Q66" s="127">
        <f t="shared" si="11"/>
        <v>2.3322191390932216</v>
      </c>
      <c r="R66" s="127">
        <f t="shared" si="9"/>
        <v>2.0109433868677664</v>
      </c>
      <c r="S66" s="127">
        <f t="shared" si="9"/>
        <v>1.7295383927262171</v>
      </c>
      <c r="T66" s="127">
        <f t="shared" si="9"/>
        <v>1.4814184690472016</v>
      </c>
      <c r="U66" s="127">
        <f t="shared" si="9"/>
        <v>1.261582308013417</v>
      </c>
    </row>
    <row r="67" spans="1:21">
      <c r="A67" s="102"/>
      <c r="B67" s="130">
        <v>-18</v>
      </c>
      <c r="C67" s="151">
        <v>163.88503133151414</v>
      </c>
      <c r="D67" s="151">
        <v>151.67328087546517</v>
      </c>
      <c r="E67" s="151">
        <v>139.35629995704087</v>
      </c>
      <c r="F67" s="151">
        <v>126.986776273066</v>
      </c>
      <c r="G67" s="152">
        <v>114.62559304830567</v>
      </c>
      <c r="H67" s="102"/>
      <c r="I67" s="133">
        <v>-18</v>
      </c>
      <c r="J67" s="153">
        <f t="shared" si="10"/>
        <v>77.076360722394028</v>
      </c>
      <c r="K67" s="153">
        <f t="shared" si="10"/>
        <v>82.949836156576424</v>
      </c>
      <c r="L67" s="153">
        <f t="shared" si="10"/>
        <v>88.82331159075882</v>
      </c>
      <c r="M67" s="153">
        <f t="shared" si="10"/>
        <v>94.69678702494123</v>
      </c>
      <c r="N67" s="153">
        <f t="shared" si="10"/>
        <v>100.57026245912363</v>
      </c>
      <c r="O67" s="47"/>
      <c r="P67" s="137">
        <v>-18</v>
      </c>
      <c r="Q67" s="138">
        <f t="shared" si="11"/>
        <v>2.4724051334846973</v>
      </c>
      <c r="R67" s="138">
        <f t="shared" si="9"/>
        <v>2.1261558582809532</v>
      </c>
      <c r="S67" s="138">
        <f t="shared" si="9"/>
        <v>1.8243207368687209</v>
      </c>
      <c r="T67" s="138">
        <f t="shared" si="9"/>
        <v>1.5592824932813538</v>
      </c>
      <c r="U67" s="138">
        <f t="shared" si="9"/>
        <v>1.325298055835906</v>
      </c>
    </row>
    <row r="68" spans="1:21">
      <c r="B68" s="62"/>
      <c r="C68" s="154"/>
      <c r="D68" s="154"/>
      <c r="E68" s="154"/>
      <c r="F68" s="154"/>
      <c r="G68" s="154"/>
      <c r="I68" s="155"/>
      <c r="J68" s="156"/>
      <c r="K68" s="156"/>
      <c r="L68" s="156"/>
      <c r="M68" s="156"/>
      <c r="N68" s="156"/>
    </row>
    <row r="69" spans="1:21">
      <c r="B69" s="62"/>
    </row>
    <row r="70" spans="1:21">
      <c r="A70" s="62"/>
      <c r="B70" s="62"/>
      <c r="C70" s="62"/>
      <c r="D70" s="207"/>
      <c r="E70" s="207"/>
      <c r="F70" s="207"/>
      <c r="G70" s="207"/>
      <c r="H70" s="207"/>
      <c r="I70" s="207"/>
      <c r="J70" s="207"/>
      <c r="K70" s="207"/>
      <c r="L70" s="207"/>
      <c r="M70" s="207"/>
      <c r="N70" s="207"/>
      <c r="O70" s="97"/>
      <c r="P70" s="98"/>
      <c r="Q70" s="197" t="s">
        <v>24</v>
      </c>
      <c r="R70" s="197"/>
      <c r="S70" s="197"/>
      <c r="T70" s="197"/>
      <c r="U70" s="198"/>
    </row>
    <row r="71" spans="1:21">
      <c r="A71" s="109"/>
      <c r="B71" s="109"/>
      <c r="C71" s="109"/>
      <c r="D71" s="197" t="s">
        <v>14</v>
      </c>
      <c r="E71" s="197"/>
      <c r="F71" s="198"/>
      <c r="G71" s="196" t="s">
        <v>13</v>
      </c>
      <c r="H71" s="197"/>
      <c r="I71" s="198"/>
      <c r="J71" s="214"/>
      <c r="K71" s="214"/>
      <c r="L71" s="214"/>
      <c r="M71" s="214"/>
      <c r="N71" s="214"/>
      <c r="O71" s="100"/>
      <c r="P71" s="101"/>
      <c r="Q71" s="212" t="s">
        <v>10</v>
      </c>
      <c r="R71" s="201"/>
      <c r="S71" s="201"/>
      <c r="T71" s="201"/>
      <c r="U71" s="213"/>
    </row>
    <row r="72" spans="1:21">
      <c r="A72" s="157" t="s">
        <v>16</v>
      </c>
      <c r="B72" s="157" t="s">
        <v>17</v>
      </c>
      <c r="C72" s="157"/>
      <c r="D72" s="106">
        <f>M26</f>
        <v>35</v>
      </c>
      <c r="E72" s="106">
        <f>N26</f>
        <v>45</v>
      </c>
      <c r="F72" s="106">
        <f>D72</f>
        <v>35</v>
      </c>
      <c r="G72" s="106">
        <f>E72</f>
        <v>45</v>
      </c>
      <c r="H72" s="106">
        <f>N26</f>
        <v>45</v>
      </c>
      <c r="I72" s="106"/>
      <c r="J72" s="158"/>
      <c r="K72" s="158"/>
      <c r="L72" s="158"/>
      <c r="M72" s="158"/>
      <c r="N72" s="158"/>
      <c r="O72" s="39"/>
      <c r="P72" s="108"/>
      <c r="Q72" s="48">
        <v>35</v>
      </c>
      <c r="R72" s="48">
        <v>40</v>
      </c>
      <c r="S72" s="48">
        <v>45</v>
      </c>
      <c r="T72" s="48">
        <v>50</v>
      </c>
      <c r="U72" s="48">
        <v>55</v>
      </c>
    </row>
    <row r="73" spans="1:21">
      <c r="A73" s="14">
        <v>4.7878318380820248</v>
      </c>
      <c r="B73" s="14">
        <v>0.3719233795238876</v>
      </c>
      <c r="C73" s="14">
        <v>12.873167167417922</v>
      </c>
      <c r="D73" s="14">
        <v>0.91915020130259784</v>
      </c>
      <c r="E73" s="14"/>
      <c r="F73" s="14"/>
      <c r="G73" s="14">
        <v>0.87937679865047336</v>
      </c>
      <c r="H73" s="14"/>
      <c r="I73" s="14"/>
      <c r="J73" s="159"/>
      <c r="K73" s="159"/>
      <c r="L73" s="159"/>
      <c r="M73" s="159"/>
      <c r="N73" s="159"/>
      <c r="O73" s="119"/>
      <c r="P73" s="117">
        <v>-32</v>
      </c>
      <c r="Q73" s="160">
        <f t="shared" ref="Q73:U80" si="12">Q60/$U$60</f>
        <v>1.7131034495545285</v>
      </c>
      <c r="R73" s="160">
        <f t="shared" si="12"/>
        <v>1.508964401487306</v>
      </c>
      <c r="S73" s="160">
        <f t="shared" si="12"/>
        <v>1.3233970028442483</v>
      </c>
      <c r="T73" s="160">
        <f t="shared" si="12"/>
        <v>1.1543001617189144</v>
      </c>
      <c r="U73" s="160">
        <f>U60/$U$60</f>
        <v>1</v>
      </c>
    </row>
    <row r="74" spans="1:21">
      <c r="A74" s="14">
        <v>6.2233594418684053</v>
      </c>
      <c r="B74" s="14">
        <v>0.3719233795238876</v>
      </c>
      <c r="C74" s="14">
        <v>16.732907325791537</v>
      </c>
      <c r="D74" s="14"/>
      <c r="E74" s="14">
        <v>0.84132993466679173</v>
      </c>
      <c r="F74" s="14"/>
      <c r="G74" s="14"/>
      <c r="H74" s="14">
        <v>0.83781725287197395</v>
      </c>
      <c r="I74" s="14"/>
      <c r="J74" s="159"/>
      <c r="K74" s="159"/>
      <c r="L74" s="159"/>
      <c r="M74" s="159"/>
      <c r="N74" s="159"/>
      <c r="O74" s="119" t="s">
        <v>6</v>
      </c>
      <c r="P74" s="126">
        <v>-30</v>
      </c>
      <c r="Q74" s="161">
        <f t="shared" si="12"/>
        <v>1.8033452331224558</v>
      </c>
      <c r="R74" s="161">
        <f t="shared" si="12"/>
        <v>1.5814631897508917</v>
      </c>
      <c r="S74" s="161">
        <f t="shared" si="12"/>
        <v>1.3812886579438335</v>
      </c>
      <c r="T74" s="161">
        <f t="shared" si="12"/>
        <v>1.20012449763677</v>
      </c>
      <c r="U74" s="161">
        <f t="shared" si="12"/>
        <v>1.0358388314990326</v>
      </c>
    </row>
    <row r="75" spans="1:21">
      <c r="A75" s="14">
        <v>7.9479491617924891</v>
      </c>
      <c r="B75" s="14">
        <v>0.3719233795238876</v>
      </c>
      <c r="C75" s="14">
        <v>21.369856264392258</v>
      </c>
      <c r="D75" s="14"/>
      <c r="E75" s="14"/>
      <c r="F75" s="14">
        <v>0.76344650960859017</v>
      </c>
      <c r="G75" s="14"/>
      <c r="H75" s="14"/>
      <c r="I75" s="14">
        <v>0.78788915310902441</v>
      </c>
      <c r="J75" s="159"/>
      <c r="K75" s="159"/>
      <c r="L75" s="159"/>
      <c r="M75" s="159"/>
      <c r="N75" s="159"/>
      <c r="O75" s="119" t="s">
        <v>7</v>
      </c>
      <c r="P75" s="126">
        <v>-28</v>
      </c>
      <c r="Q75" s="161">
        <f t="shared" si="12"/>
        <v>1.9017588567448751</v>
      </c>
      <c r="R75" s="161">
        <f t="shared" si="12"/>
        <v>1.6611148593233647</v>
      </c>
      <c r="S75" s="161">
        <f t="shared" si="12"/>
        <v>1.4455047677287074</v>
      </c>
      <c r="T75" s="161">
        <f t="shared" si="12"/>
        <v>1.2515714068273616</v>
      </c>
      <c r="U75" s="161">
        <f t="shared" si="12"/>
        <v>1.0766831141014608</v>
      </c>
    </row>
    <row r="76" spans="1:21">
      <c r="A76" s="14">
        <v>4.7878318380820248</v>
      </c>
      <c r="B76" s="14">
        <v>0.59357850212742569</v>
      </c>
      <c r="C76" s="14">
        <v>8.0660465648976682</v>
      </c>
      <c r="D76" s="14">
        <v>0.84819624955948913</v>
      </c>
      <c r="E76" s="14"/>
      <c r="F76" s="14"/>
      <c r="G76" s="14">
        <v>0.85504637501258907</v>
      </c>
      <c r="H76" s="14"/>
      <c r="I76" s="14"/>
      <c r="J76" s="159"/>
      <c r="K76" s="159"/>
      <c r="L76" s="159"/>
      <c r="M76" s="159"/>
      <c r="N76" s="159"/>
      <c r="O76" s="119" t="s">
        <v>8</v>
      </c>
      <c r="P76" s="126">
        <v>-26</v>
      </c>
      <c r="Q76" s="161">
        <f t="shared" si="12"/>
        <v>2.0085358409117937</v>
      </c>
      <c r="R76" s="161">
        <f t="shared" si="12"/>
        <v>1.7479972110524069</v>
      </c>
      <c r="S76" s="161">
        <f t="shared" si="12"/>
        <v>1.5160326069149686</v>
      </c>
      <c r="T76" s="161">
        <f t="shared" si="12"/>
        <v>1.3085570912894722</v>
      </c>
      <c r="U76" s="161">
        <f t="shared" si="12"/>
        <v>1.1223949395546229</v>
      </c>
    </row>
    <row r="77" spans="1:21">
      <c r="A77" s="14">
        <v>6.2233594418684053</v>
      </c>
      <c r="B77" s="14">
        <v>0.59357850212742569</v>
      </c>
      <c r="C77" s="14">
        <v>10.484475801538402</v>
      </c>
      <c r="D77" s="14"/>
      <c r="E77" s="14">
        <v>0.7994883096214952</v>
      </c>
      <c r="F77" s="14"/>
      <c r="G77" s="14"/>
      <c r="H77" s="14">
        <v>0.80619187905096223</v>
      </c>
      <c r="I77" s="14"/>
      <c r="J77" s="159"/>
      <c r="K77" s="159"/>
      <c r="L77" s="159"/>
      <c r="M77" s="159"/>
      <c r="N77" s="159"/>
      <c r="O77" s="119" t="s">
        <v>5</v>
      </c>
      <c r="P77" s="126">
        <v>-24</v>
      </c>
      <c r="Q77" s="161">
        <f t="shared" si="12"/>
        <v>2.1239231650993231</v>
      </c>
      <c r="R77" s="161">
        <f t="shared" si="12"/>
        <v>1.8422483242249206</v>
      </c>
      <c r="S77" s="161">
        <f t="shared" si="12"/>
        <v>1.59292509045484</v>
      </c>
      <c r="T77" s="161">
        <f t="shared" si="12"/>
        <v>1.3710683427715982</v>
      </c>
      <c r="U77" s="161">
        <f t="shared" si="12"/>
        <v>1.1729108774890309</v>
      </c>
    </row>
    <row r="78" spans="1:21">
      <c r="A78" s="14">
        <v>7.9479491617924891</v>
      </c>
      <c r="B78" s="14">
        <v>0.59357850212742569</v>
      </c>
      <c r="C78" s="14">
        <v>13.389887156132675</v>
      </c>
      <c r="D78" s="14"/>
      <c r="E78" s="14"/>
      <c r="F78" s="14">
        <v>0.75071125300263797</v>
      </c>
      <c r="G78" s="14"/>
      <c r="H78" s="14"/>
      <c r="I78" s="14">
        <v>0.74749989619722679</v>
      </c>
      <c r="J78" s="159"/>
      <c r="K78" s="159"/>
      <c r="L78" s="159"/>
      <c r="M78" s="159"/>
      <c r="N78" s="159"/>
      <c r="O78" s="128"/>
      <c r="P78" s="126">
        <v>-22</v>
      </c>
      <c r="Q78" s="161">
        <f t="shared" si="12"/>
        <v>2.2482163423406725</v>
      </c>
      <c r="R78" s="161">
        <f t="shared" si="12"/>
        <v>1.9440568366061326</v>
      </c>
      <c r="S78" s="161">
        <f t="shared" si="12"/>
        <v>1.676288384120556</v>
      </c>
      <c r="T78" s="161">
        <f t="shared" si="12"/>
        <v>1.439147742143144</v>
      </c>
      <c r="U78" s="161">
        <f t="shared" si="12"/>
        <v>1.2282251448404604</v>
      </c>
    </row>
    <row r="79" spans="1:21">
      <c r="A79" s="14">
        <v>4.7878318380820248</v>
      </c>
      <c r="B79" s="14">
        <v>0.90864948863276984</v>
      </c>
      <c r="C79" s="14">
        <v>5.2691735349856383</v>
      </c>
      <c r="D79" s="14">
        <v>0.8131883670629344</v>
      </c>
      <c r="E79" s="14"/>
      <c r="F79" s="14"/>
      <c r="G79" s="14">
        <v>0.84089047768738834</v>
      </c>
      <c r="H79" s="14"/>
      <c r="I79" s="14"/>
      <c r="J79" s="159"/>
      <c r="K79" s="159"/>
      <c r="L79" s="159"/>
      <c r="M79" s="159"/>
      <c r="N79" s="159"/>
      <c r="O79" s="119" t="s">
        <v>9</v>
      </c>
      <c r="P79" s="126">
        <v>-20</v>
      </c>
      <c r="Q79" s="161">
        <f t="shared" si="12"/>
        <v>2.3817546846489805</v>
      </c>
      <c r="R79" s="161">
        <f t="shared" si="12"/>
        <v>2.0536551441295519</v>
      </c>
      <c r="S79" s="161">
        <f t="shared" si="12"/>
        <v>1.7662732031079866</v>
      </c>
      <c r="T79" s="161">
        <f t="shared" si="12"/>
        <v>1.5128832961856846</v>
      </c>
      <c r="U79" s="161">
        <f t="shared" si="12"/>
        <v>1.2883778894591793</v>
      </c>
    </row>
    <row r="80" spans="1:21">
      <c r="A80" s="14">
        <v>6.2233594418684053</v>
      </c>
      <c r="B80" s="14">
        <v>0.90864948863276984</v>
      </c>
      <c r="C80" s="14">
        <v>6.8490210138483576</v>
      </c>
      <c r="D80" s="14"/>
      <c r="E80" s="14">
        <v>0.78141532794631885</v>
      </c>
      <c r="F80" s="14"/>
      <c r="G80" s="14"/>
      <c r="H80" s="14">
        <v>0.78779164273184421</v>
      </c>
      <c r="I80" s="14"/>
      <c r="J80" s="159"/>
      <c r="K80" s="159"/>
      <c r="L80" s="159"/>
      <c r="M80" s="159"/>
      <c r="N80" s="159"/>
      <c r="O80" s="102"/>
      <c r="P80" s="137">
        <v>-18</v>
      </c>
      <c r="Q80" s="162">
        <f t="shared" si="12"/>
        <v>2.5249181821382818</v>
      </c>
      <c r="R80" s="162">
        <f t="shared" si="12"/>
        <v>2.1713146894607149</v>
      </c>
      <c r="S80" s="162">
        <f t="shared" si="12"/>
        <v>1.8630686921764763</v>
      </c>
      <c r="T80" s="162">
        <f t="shared" si="12"/>
        <v>1.592401125954211</v>
      </c>
      <c r="U80" s="162">
        <f t="shared" si="12"/>
        <v>1.3534469382112315</v>
      </c>
    </row>
    <row r="81" spans="1:9">
      <c r="A81" s="14">
        <v>7.9479491617924891</v>
      </c>
      <c r="B81" s="14">
        <v>0.90864948863276984</v>
      </c>
      <c r="C81" s="14">
        <v>8.7469912889640646</v>
      </c>
      <c r="D81" s="14"/>
      <c r="E81" s="14"/>
      <c r="F81" s="14">
        <v>0.74957799067697128</v>
      </c>
      <c r="G81" s="14"/>
      <c r="H81" s="14"/>
      <c r="I81" s="14">
        <v>0.72400066813634334</v>
      </c>
    </row>
    <row r="82" spans="1:9">
      <c r="A82" s="14"/>
      <c r="B82" s="14"/>
      <c r="C82" s="14"/>
      <c r="D82" s="14"/>
      <c r="E82" s="14"/>
      <c r="F82" s="14"/>
      <c r="G82" s="14"/>
      <c r="H82" s="14"/>
      <c r="I82" s="14"/>
    </row>
    <row r="83" spans="1:9">
      <c r="A83" s="14"/>
      <c r="B83" s="14"/>
      <c r="C83" s="14"/>
      <c r="D83" s="14"/>
      <c r="E83" s="14"/>
      <c r="F83" s="14"/>
      <c r="G83" s="14"/>
      <c r="H83" s="14"/>
      <c r="I83" s="14"/>
    </row>
    <row r="84" spans="1:9">
      <c r="A84" s="14"/>
      <c r="B84" s="14"/>
      <c r="C84" s="14"/>
      <c r="D84" s="14"/>
      <c r="E84" s="14"/>
      <c r="F84" s="14"/>
      <c r="G84" s="14"/>
      <c r="H84" s="14"/>
      <c r="I84" s="14"/>
    </row>
    <row r="85" spans="1:9">
      <c r="A85" s="14"/>
      <c r="B85" s="14"/>
      <c r="C85" s="14"/>
      <c r="D85" s="14"/>
      <c r="E85" s="14"/>
      <c r="F85" s="14"/>
      <c r="G85" s="14"/>
      <c r="H85" s="14"/>
      <c r="I85" s="14"/>
    </row>
    <row r="86" spans="1:9">
      <c r="A86" s="14"/>
      <c r="B86" s="14"/>
      <c r="C86" s="14"/>
      <c r="D86" s="14"/>
      <c r="E86" s="14"/>
      <c r="F86" s="14"/>
      <c r="G86" s="14"/>
      <c r="H86" s="14"/>
      <c r="I86" s="14"/>
    </row>
    <row r="87" spans="1:9">
      <c r="A87" s="14"/>
      <c r="B87" s="14"/>
      <c r="C87" s="14"/>
      <c r="D87" s="14"/>
      <c r="E87" s="14"/>
      <c r="F87" s="14"/>
      <c r="G87" s="14"/>
      <c r="H87" s="14"/>
      <c r="I87" s="14"/>
    </row>
    <row r="88" spans="1:9">
      <c r="A88" s="1">
        <v>4.7878318380820248</v>
      </c>
      <c r="B88" s="1">
        <v>1.1086403483853422</v>
      </c>
      <c r="C88" s="1">
        <v>4.3186519821826526</v>
      </c>
      <c r="D88" s="1">
        <v>0.87548918516073793</v>
      </c>
      <c r="G88" s="1">
        <v>0.86845515962791453</v>
      </c>
    </row>
    <row r="89" spans="1:9">
      <c r="A89" s="1">
        <v>6.2233594418684053</v>
      </c>
      <c r="B89" s="1">
        <v>1.1086403483853422</v>
      </c>
      <c r="C89" s="1">
        <v>5.6135061753185305</v>
      </c>
      <c r="D89" s="159"/>
      <c r="E89" s="159">
        <v>0.79285372664203291</v>
      </c>
      <c r="F89" s="159"/>
      <c r="G89" s="159"/>
      <c r="H89" s="159">
        <v>0.79692236588216037</v>
      </c>
      <c r="I89" s="159"/>
    </row>
    <row r="90" spans="1:9" hidden="1">
      <c r="A90" s="1">
        <v>7.9479491617924891</v>
      </c>
      <c r="B90" s="1">
        <v>1.1086403483853422</v>
      </c>
      <c r="C90" s="1">
        <v>7.1690960674199946</v>
      </c>
      <c r="D90" s="159"/>
      <c r="E90" s="159"/>
      <c r="F90" s="159">
        <v>0.70798487686147449</v>
      </c>
      <c r="G90" s="159"/>
      <c r="H90" s="159"/>
      <c r="I90" s="159">
        <v>0.71098551562167944</v>
      </c>
    </row>
    <row r="91" spans="1:9" hidden="1">
      <c r="D91" s="159"/>
      <c r="E91" s="159"/>
      <c r="F91" s="159"/>
      <c r="G91" s="159"/>
      <c r="H91" s="159"/>
      <c r="I91" s="159"/>
    </row>
    <row r="92" spans="1:9" hidden="1">
      <c r="D92" s="159"/>
      <c r="E92" s="159"/>
      <c r="F92" s="159"/>
      <c r="G92" s="159"/>
      <c r="H92" s="159"/>
      <c r="I92" s="159"/>
    </row>
    <row r="93" spans="1:9" hidden="1">
      <c r="D93" s="159"/>
      <c r="E93" s="159"/>
      <c r="F93" s="159"/>
      <c r="G93" s="159"/>
      <c r="H93" s="159"/>
      <c r="I93" s="159"/>
    </row>
    <row r="94" spans="1:9" hidden="1">
      <c r="D94" s="159"/>
      <c r="E94" s="159"/>
      <c r="F94" s="159"/>
      <c r="G94" s="159"/>
      <c r="H94" s="159"/>
      <c r="I94" s="159"/>
    </row>
    <row r="95" spans="1:9" hidden="1">
      <c r="D95" s="159"/>
      <c r="E95" s="159"/>
      <c r="F95" s="159"/>
      <c r="G95" s="159"/>
      <c r="H95" s="159"/>
      <c r="I95" s="159"/>
    </row>
    <row r="96" spans="1:9" hidden="1">
      <c r="D96" s="159"/>
      <c r="E96" s="159"/>
      <c r="F96" s="159"/>
      <c r="G96" s="159"/>
      <c r="H96" s="159"/>
      <c r="I96" s="159"/>
    </row>
    <row r="97" spans="2:17" hidden="1">
      <c r="D97" s="159"/>
      <c r="E97" s="159"/>
      <c r="F97" s="159"/>
      <c r="G97" s="159"/>
      <c r="H97" s="159"/>
      <c r="I97" s="159"/>
    </row>
    <row r="98" spans="2:17" hidden="1">
      <c r="D98" s="159"/>
      <c r="E98" s="159"/>
      <c r="F98" s="159"/>
      <c r="G98" s="159"/>
      <c r="H98" s="159"/>
      <c r="I98" s="159"/>
    </row>
    <row r="99" spans="2:17" hidden="1"/>
    <row r="100" spans="2:17" hidden="1"/>
    <row r="102" spans="2:17" ht="15" thickBot="1">
      <c r="D102" s="1" t="s">
        <v>38</v>
      </c>
      <c r="L102" s="1" t="s">
        <v>37</v>
      </c>
    </row>
    <row r="103" spans="2:17" ht="15" thickBot="1">
      <c r="B103" s="163"/>
      <c r="C103" s="204" t="s">
        <v>20</v>
      </c>
      <c r="D103" s="205"/>
      <c r="E103" s="206"/>
      <c r="F103" s="204" t="s">
        <v>39</v>
      </c>
      <c r="G103" s="205"/>
      <c r="H103" s="206"/>
      <c r="K103" s="163"/>
      <c r="L103" s="204" t="s">
        <v>20</v>
      </c>
      <c r="M103" s="205"/>
      <c r="N103" s="206"/>
      <c r="O103" s="204" t="s">
        <v>39</v>
      </c>
      <c r="P103" s="205"/>
      <c r="Q103" s="206"/>
    </row>
    <row r="104" spans="2:17" ht="15" thickBot="1">
      <c r="B104" s="164"/>
      <c r="C104" s="165">
        <v>35</v>
      </c>
      <c r="D104" s="166">
        <v>45</v>
      </c>
      <c r="E104" s="167">
        <v>55</v>
      </c>
      <c r="F104" s="168">
        <v>35</v>
      </c>
      <c r="G104" s="168">
        <v>45</v>
      </c>
      <c r="H104" s="169">
        <v>55</v>
      </c>
      <c r="K104" s="164"/>
      <c r="L104" s="168">
        <v>40.5</v>
      </c>
      <c r="M104" s="168">
        <v>54.4</v>
      </c>
      <c r="N104" s="169">
        <v>65</v>
      </c>
      <c r="O104" s="165">
        <v>40.5</v>
      </c>
      <c r="P104" s="166">
        <v>54.4</v>
      </c>
      <c r="Q104" s="167">
        <v>65</v>
      </c>
    </row>
    <row r="105" spans="2:17">
      <c r="B105" s="170">
        <v>-35</v>
      </c>
      <c r="C105" s="171">
        <f t="shared" ref="C105:E109" si="13">IF(C27="","",C27)</f>
        <v>97.279886774897577</v>
      </c>
      <c r="D105" s="172">
        <f t="shared" si="13"/>
        <v>92.68241739208807</v>
      </c>
      <c r="E105" s="173">
        <f t="shared" si="13"/>
        <v>87.15918787400291</v>
      </c>
      <c r="F105" s="174">
        <f>IF(C14="","",C14)</f>
        <v>101.67976645399402</v>
      </c>
      <c r="G105" s="175">
        <f t="shared" ref="G105:H109" si="14">IF(D14="","",D14)</f>
        <v>93.071003135765352</v>
      </c>
      <c r="H105" s="176">
        <f t="shared" si="14"/>
        <v>84.455253001203857</v>
      </c>
      <c r="K105" s="170">
        <v>-30</v>
      </c>
      <c r="L105" s="174">
        <f t="shared" ref="L105:N109" si="15">IF(H27="","",H27)</f>
        <v>53.574863421410853</v>
      </c>
      <c r="M105" s="175">
        <f t="shared" si="15"/>
        <v>58.448745104327458</v>
      </c>
      <c r="N105" s="176">
        <f t="shared" si="15"/>
        <v>63.322626787244047</v>
      </c>
      <c r="O105" s="171">
        <f>IF(H14="","",H14)</f>
        <v>53.288893500674192</v>
      </c>
      <c r="P105" s="172">
        <f t="shared" ref="P105:Q109" si="16">IF(I14="","",I14)</f>
        <v>58.611992207973564</v>
      </c>
      <c r="Q105" s="173">
        <f t="shared" si="16"/>
        <v>63.445349604334389</v>
      </c>
    </row>
    <row r="106" spans="2:17">
      <c r="B106" s="177">
        <v>-25</v>
      </c>
      <c r="C106" s="178">
        <f t="shared" si="13"/>
        <v>151.27841028490329</v>
      </c>
      <c r="D106" s="179">
        <f t="shared" si="13"/>
        <v>142.63486684641285</v>
      </c>
      <c r="E106" s="180">
        <f t="shared" si="13"/>
        <v>132.25083374358707</v>
      </c>
      <c r="F106" s="181">
        <f t="shared" ref="F106:F109" si="17">IF(C15="","",C15)</f>
        <v>150.06645720366623</v>
      </c>
      <c r="G106" s="182">
        <f t="shared" si="14"/>
        <v>141.44884307488428</v>
      </c>
      <c r="H106" s="183">
        <f t="shared" si="14"/>
        <v>132.81900053146808</v>
      </c>
      <c r="K106" s="177">
        <v>-20</v>
      </c>
      <c r="L106" s="181">
        <f t="shared" si="15"/>
        <v>67.822965947098098</v>
      </c>
      <c r="M106" s="182">
        <f t="shared" si="15"/>
        <v>76.739829503807755</v>
      </c>
      <c r="N106" s="183">
        <f t="shared" si="15"/>
        <v>85.656693060517412</v>
      </c>
      <c r="O106" s="178">
        <f t="shared" ref="O106:O109" si="18">IF(H15="","",H15)</f>
        <v>68.095074462929205</v>
      </c>
      <c r="P106" s="179">
        <f t="shared" si="16"/>
        <v>77.012997947800315</v>
      </c>
      <c r="Q106" s="180">
        <f t="shared" si="16"/>
        <v>85.111416100694257</v>
      </c>
    </row>
    <row r="107" spans="2:17">
      <c r="B107" s="177">
        <v>-15</v>
      </c>
      <c r="C107" s="178">
        <f t="shared" si="13"/>
        <v>228.47262166185808</v>
      </c>
      <c r="D107" s="179">
        <f t="shared" si="13"/>
        <v>214.04549904435882</v>
      </c>
      <c r="E107" s="180">
        <f t="shared" si="13"/>
        <v>196.71328802410599</v>
      </c>
      <c r="F107" s="181">
        <f t="shared" si="17"/>
        <v>220.94586995295271</v>
      </c>
      <c r="G107" s="182">
        <f t="shared" si="14"/>
        <v>212.31303400373096</v>
      </c>
      <c r="H107" s="183">
        <f t="shared" si="14"/>
        <v>203.66272804157356</v>
      </c>
      <c r="K107" s="177">
        <v>-15</v>
      </c>
      <c r="L107" s="181">
        <f t="shared" si="15"/>
        <v>80.860518905247289</v>
      </c>
      <c r="M107" s="182">
        <f t="shared" si="15"/>
        <v>93.820364335750014</v>
      </c>
      <c r="N107" s="183">
        <f t="shared" si="15"/>
        <v>106.78020976625272</v>
      </c>
      <c r="O107" s="178">
        <f t="shared" si="18"/>
        <v>80.464627644164096</v>
      </c>
      <c r="P107" s="179">
        <f t="shared" si="16"/>
        <v>94.203454120088495</v>
      </c>
      <c r="Q107" s="180">
        <f t="shared" si="16"/>
        <v>106.79301124299701</v>
      </c>
    </row>
    <row r="108" spans="2:17">
      <c r="B108" s="177">
        <v>-20</v>
      </c>
      <c r="C108" s="178" t="str">
        <f t="shared" si="13"/>
        <v/>
      </c>
      <c r="D108" s="179" t="str">
        <f t="shared" si="13"/>
        <v/>
      </c>
      <c r="E108" s="180" t="str">
        <f t="shared" si="13"/>
        <v/>
      </c>
      <c r="F108" s="181" t="str">
        <f t="shared" si="17"/>
        <v/>
      </c>
      <c r="G108" s="182" t="str">
        <f t="shared" si="14"/>
        <v/>
      </c>
      <c r="H108" s="183" t="str">
        <f t="shared" si="14"/>
        <v/>
      </c>
      <c r="K108" s="177">
        <v>-10</v>
      </c>
      <c r="L108" s="181" t="str">
        <f t="shared" si="15"/>
        <v/>
      </c>
      <c r="M108" s="182" t="str">
        <f t="shared" si="15"/>
        <v/>
      </c>
      <c r="N108" s="183" t="str">
        <f t="shared" si="15"/>
        <v/>
      </c>
      <c r="O108" s="178" t="str">
        <f t="shared" si="18"/>
        <v/>
      </c>
      <c r="P108" s="179" t="str">
        <f t="shared" si="16"/>
        <v/>
      </c>
      <c r="Q108" s="180" t="str">
        <f t="shared" si="16"/>
        <v/>
      </c>
    </row>
    <row r="109" spans="2:17" ht="15" thickBot="1">
      <c r="B109" s="184">
        <v>-15</v>
      </c>
      <c r="C109" s="185" t="str">
        <f t="shared" si="13"/>
        <v/>
      </c>
      <c r="D109" s="186" t="str">
        <f t="shared" si="13"/>
        <v/>
      </c>
      <c r="E109" s="187" t="str">
        <f t="shared" si="13"/>
        <v/>
      </c>
      <c r="F109" s="188" t="str">
        <f t="shared" si="17"/>
        <v/>
      </c>
      <c r="G109" s="189" t="str">
        <f t="shared" si="14"/>
        <v/>
      </c>
      <c r="H109" s="190" t="str">
        <f t="shared" si="14"/>
        <v/>
      </c>
      <c r="K109" s="184"/>
      <c r="L109" s="188" t="str">
        <f t="shared" si="15"/>
        <v/>
      </c>
      <c r="M109" s="189" t="str">
        <f t="shared" si="15"/>
        <v/>
      </c>
      <c r="N109" s="190" t="str">
        <f t="shared" si="15"/>
        <v/>
      </c>
      <c r="O109" s="185" t="str">
        <f t="shared" si="18"/>
        <v/>
      </c>
      <c r="P109" s="186" t="str">
        <f t="shared" si="16"/>
        <v/>
      </c>
      <c r="Q109" s="187" t="str">
        <f t="shared" si="16"/>
        <v/>
      </c>
    </row>
    <row r="110" spans="2:17">
      <c r="B110" s="154">
        <v>-10</v>
      </c>
      <c r="C110" s="45"/>
      <c r="D110" s="45"/>
      <c r="E110" s="45"/>
    </row>
  </sheetData>
  <mergeCells count="47">
    <mergeCell ref="C103:E103"/>
    <mergeCell ref="F103:H103"/>
    <mergeCell ref="L103:N103"/>
    <mergeCell ref="O103:Q103"/>
    <mergeCell ref="D70:F70"/>
    <mergeCell ref="G70:I70"/>
    <mergeCell ref="J70:N70"/>
    <mergeCell ref="Q70:U70"/>
    <mergeCell ref="D71:F71"/>
    <mergeCell ref="G71:I71"/>
    <mergeCell ref="J71:N71"/>
    <mergeCell ref="Q71:U71"/>
    <mergeCell ref="C57:G57"/>
    <mergeCell ref="J57:N57"/>
    <mergeCell ref="Q57:U57"/>
    <mergeCell ref="C58:G58"/>
    <mergeCell ref="J58:N58"/>
    <mergeCell ref="Q58:U58"/>
    <mergeCell ref="C40:G40"/>
    <mergeCell ref="I40:N40"/>
    <mergeCell ref="Q40:U40"/>
    <mergeCell ref="C41:G41"/>
    <mergeCell ref="I41:M41"/>
    <mergeCell ref="Q41:U41"/>
    <mergeCell ref="A24:E24"/>
    <mergeCell ref="F24:J24"/>
    <mergeCell ref="K24:O24"/>
    <mergeCell ref="Q24:U24"/>
    <mergeCell ref="A27:A32"/>
    <mergeCell ref="F27:F32"/>
    <mergeCell ref="K27:K32"/>
    <mergeCell ref="Q27:Q32"/>
    <mergeCell ref="R8:S8"/>
    <mergeCell ref="A11:E11"/>
    <mergeCell ref="F11:J11"/>
    <mergeCell ref="K11:O11"/>
    <mergeCell ref="Q11:U11"/>
    <mergeCell ref="A14:A19"/>
    <mergeCell ref="F14:F19"/>
    <mergeCell ref="K14:K19"/>
    <mergeCell ref="Q14:Q19"/>
    <mergeCell ref="D3:E3"/>
    <mergeCell ref="B4:C4"/>
    <mergeCell ref="R4:S4"/>
    <mergeCell ref="R5:S5"/>
    <mergeCell ref="R6:S6"/>
    <mergeCell ref="R7:S7"/>
  </mergeCells>
  <printOptions gridLinesSet="0"/>
  <pageMargins left="0.47" right="0.28000000000000003" top="0.69" bottom="0.42" header="0.38" footer="0.21"/>
  <pageSetup paperSize="9" scale="72" orientation="landscape" horizontalDpi="4294967292" r:id="rId1"/>
  <headerFooter alignWithMargins="0">
    <oddFooter>&amp;C- &amp;P / &amp;N -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Line="0" autoPict="0" macro="[0]!Record2">
                <anchor moveWithCells="1" sizeWithCells="1">
                  <from>
                    <xdr:col>5</xdr:col>
                    <xdr:colOff>91440</xdr:colOff>
                    <xdr:row>7</xdr:row>
                    <xdr:rowOff>45720</xdr:rowOff>
                  </from>
                  <to>
                    <xdr:col>6</xdr:col>
                    <xdr:colOff>579120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98A83-C874-44FA-8B29-420B0723100B}">
  <sheetPr codeName="Sheet2"/>
  <dimension ref="A1:U110"/>
  <sheetViews>
    <sheetView showGridLines="0" zoomScaleNormal="100" workbookViewId="0">
      <selection activeCell="J14" sqref="J14:J16"/>
    </sheetView>
    <sheetView workbookViewId="1"/>
  </sheetViews>
  <sheetFormatPr defaultRowHeight="14.4"/>
  <cols>
    <col min="1" max="1" width="10.44140625" style="1" customWidth="1"/>
    <col min="2" max="2" width="9.6640625" style="1" customWidth="1"/>
    <col min="3" max="3" width="14.44140625" style="1" bestFit="1" customWidth="1"/>
    <col min="4" max="4" width="9.109375" style="1" bestFit="1" customWidth="1"/>
    <col min="5" max="5" width="13" style="1" bestFit="1" customWidth="1"/>
    <col min="6" max="6" width="9.21875" style="1" customWidth="1"/>
    <col min="7" max="7" width="9.88671875" style="1" customWidth="1"/>
    <col min="8" max="8" width="9.6640625" style="1" customWidth="1"/>
    <col min="9" max="9" width="9.109375" style="1" bestFit="1" customWidth="1"/>
    <col min="10" max="10" width="9.6640625" style="1" bestFit="1" customWidth="1"/>
    <col min="11" max="11" width="8" style="1" customWidth="1"/>
    <col min="12" max="14" width="9.109375" style="1" bestFit="1" customWidth="1"/>
    <col min="15" max="15" width="13.109375" style="1" customWidth="1"/>
    <col min="16" max="16" width="9" style="1" customWidth="1"/>
    <col min="17" max="17" width="9.77734375" style="1" customWidth="1"/>
    <col min="18" max="18" width="8.44140625" style="1" customWidth="1"/>
    <col min="19" max="20" width="9.109375" style="1" bestFit="1" customWidth="1"/>
    <col min="21" max="16384" width="8.88671875" style="1"/>
  </cols>
  <sheetData>
    <row r="1" spans="1:21">
      <c r="B1" s="2" t="s">
        <v>61</v>
      </c>
      <c r="C1" s="3"/>
      <c r="D1" s="3"/>
      <c r="E1" s="3"/>
      <c r="F1" s="4"/>
    </row>
    <row r="2" spans="1:21">
      <c r="N2" s="1" t="s">
        <v>73</v>
      </c>
      <c r="Q2" s="1" t="s">
        <v>74</v>
      </c>
    </row>
    <row r="3" spans="1:21">
      <c r="B3" s="5" t="s">
        <v>62</v>
      </c>
      <c r="C3" s="6"/>
      <c r="D3" s="208" t="s">
        <v>26</v>
      </c>
      <c r="E3" s="209"/>
      <c r="F3" s="7">
        <v>2</v>
      </c>
      <c r="G3" s="1" t="s">
        <v>57</v>
      </c>
      <c r="H3" s="8"/>
      <c r="I3" s="9"/>
      <c r="K3" s="10" t="s">
        <v>64</v>
      </c>
      <c r="N3" s="1" t="s">
        <v>35</v>
      </c>
      <c r="Q3" s="1" t="s">
        <v>36</v>
      </c>
    </row>
    <row r="4" spans="1:21">
      <c r="B4" s="199" t="s">
        <v>43</v>
      </c>
      <c r="C4" s="200"/>
      <c r="D4" s="11">
        <v>9</v>
      </c>
      <c r="E4" s="12" t="s">
        <v>1</v>
      </c>
      <c r="G4" s="8" t="s">
        <v>49</v>
      </c>
      <c r="H4" s="8"/>
      <c r="N4" s="13" t="s">
        <v>27</v>
      </c>
      <c r="O4" s="14">
        <f>B21</f>
        <v>1.2291816435932468</v>
      </c>
      <c r="Q4" s="15" t="s">
        <v>30</v>
      </c>
      <c r="R4" s="210">
        <f>B22</f>
        <v>16.820442582430172</v>
      </c>
      <c r="S4" s="210"/>
    </row>
    <row r="5" spans="1:21">
      <c r="B5" s="16" t="s">
        <v>44</v>
      </c>
      <c r="C5" s="17"/>
      <c r="D5" s="11">
        <v>1620</v>
      </c>
      <c r="E5" s="12" t="s">
        <v>3</v>
      </c>
      <c r="G5" s="5" t="s">
        <v>48</v>
      </c>
      <c r="H5" s="6"/>
      <c r="I5" s="18">
        <v>75.211501155603059</v>
      </c>
      <c r="J5" s="19" t="s">
        <v>0</v>
      </c>
      <c r="K5" s="20">
        <f>I5/0.86</f>
        <v>87.45523390186402</v>
      </c>
      <c r="L5" s="21" t="s">
        <v>19</v>
      </c>
      <c r="N5" s="13" t="s">
        <v>28</v>
      </c>
      <c r="O5" s="22">
        <f>C21</f>
        <v>7.9432733916129285E-3</v>
      </c>
      <c r="Q5" s="15" t="s">
        <v>31</v>
      </c>
      <c r="R5" s="215">
        <f>C22</f>
        <v>-0.18833800205562351</v>
      </c>
      <c r="S5" s="216"/>
    </row>
    <row r="6" spans="1:21">
      <c r="B6" s="23" t="s">
        <v>45</v>
      </c>
      <c r="C6" s="17"/>
      <c r="D6" s="11">
        <v>3</v>
      </c>
      <c r="E6" s="12" t="s">
        <v>58</v>
      </c>
      <c r="G6" s="24" t="s">
        <v>50</v>
      </c>
      <c r="H6" s="25"/>
      <c r="I6" s="26">
        <v>47.301552095886485</v>
      </c>
      <c r="J6" s="21" t="s">
        <v>2</v>
      </c>
      <c r="N6" s="13" t="s">
        <v>29</v>
      </c>
      <c r="O6" s="27">
        <f>E21</f>
        <v>-7.6132007697566756E-2</v>
      </c>
      <c r="Q6" s="15" t="s">
        <v>32</v>
      </c>
      <c r="R6" s="217">
        <f>E22</f>
        <v>1.0138708523749043</v>
      </c>
      <c r="S6" s="218"/>
    </row>
    <row r="7" spans="1:21">
      <c r="B7" s="23" t="s">
        <v>46</v>
      </c>
      <c r="C7" s="17"/>
      <c r="D7" s="11">
        <v>3</v>
      </c>
      <c r="E7" s="12" t="s">
        <v>58</v>
      </c>
      <c r="G7" s="5" t="s">
        <v>4</v>
      </c>
      <c r="H7" s="6"/>
      <c r="I7" s="28">
        <f>I5/I6/0.86</f>
        <v>1.8488871934811089</v>
      </c>
      <c r="J7" s="21"/>
      <c r="Q7" s="15" t="s">
        <v>34</v>
      </c>
      <c r="R7" s="219">
        <f>G22</f>
        <v>2.154643034536366E-2</v>
      </c>
      <c r="S7" s="220"/>
    </row>
    <row r="8" spans="1:21">
      <c r="B8" s="29" t="s">
        <v>47</v>
      </c>
      <c r="C8" s="25"/>
      <c r="D8" s="30">
        <v>9</v>
      </c>
      <c r="E8" s="12" t="s">
        <v>58</v>
      </c>
      <c r="Q8" s="15" t="s">
        <v>33</v>
      </c>
      <c r="R8" s="221">
        <f>I22</f>
        <v>-3.225715913498425E-3</v>
      </c>
      <c r="S8" s="222"/>
    </row>
    <row r="9" spans="1:21">
      <c r="B9" s="31"/>
      <c r="C9" s="21"/>
      <c r="D9" s="30" t="s">
        <v>21</v>
      </c>
      <c r="E9" s="15"/>
      <c r="H9" s="1" t="s">
        <v>63</v>
      </c>
    </row>
    <row r="10" spans="1:21">
      <c r="Q10" s="4"/>
    </row>
    <row r="11" spans="1:21" ht="15.75" customHeight="1">
      <c r="A11" s="196" t="s">
        <v>78</v>
      </c>
      <c r="B11" s="197"/>
      <c r="C11" s="197"/>
      <c r="D11" s="197"/>
      <c r="E11" s="197"/>
      <c r="F11" s="211" t="s">
        <v>76</v>
      </c>
      <c r="G11" s="197"/>
      <c r="H11" s="197"/>
      <c r="I11" s="197"/>
      <c r="J11" s="198"/>
      <c r="K11" s="211" t="s">
        <v>51</v>
      </c>
      <c r="L11" s="197"/>
      <c r="M11" s="197"/>
      <c r="N11" s="197"/>
      <c r="O11" s="198"/>
      <c r="Q11" s="196" t="s">
        <v>18</v>
      </c>
      <c r="R11" s="197"/>
      <c r="S11" s="197"/>
      <c r="T11" s="197"/>
      <c r="U11" s="198"/>
    </row>
    <row r="12" spans="1:21">
      <c r="A12" s="32"/>
      <c r="B12" s="33"/>
      <c r="C12" s="34" t="s">
        <v>75</v>
      </c>
      <c r="D12" s="34"/>
      <c r="E12" s="34"/>
      <c r="F12" s="35"/>
      <c r="G12" s="33"/>
      <c r="H12" s="5" t="s">
        <v>52</v>
      </c>
      <c r="I12" s="34"/>
      <c r="J12" s="6"/>
      <c r="K12" s="35"/>
      <c r="L12" s="33"/>
      <c r="M12" s="5" t="s">
        <v>52</v>
      </c>
      <c r="N12" s="34"/>
      <c r="O12" s="6"/>
      <c r="P12" s="36"/>
      <c r="Q12" s="37"/>
      <c r="R12" s="38"/>
      <c r="S12" s="5" t="s">
        <v>52</v>
      </c>
      <c r="T12" s="34"/>
      <c r="U12" s="6"/>
    </row>
    <row r="13" spans="1:21" ht="15.6">
      <c r="A13" s="39"/>
      <c r="B13" s="40"/>
      <c r="C13" s="41">
        <v>35</v>
      </c>
      <c r="D13" s="41">
        <v>45</v>
      </c>
      <c r="E13" s="41">
        <v>55</v>
      </c>
      <c r="F13" s="42"/>
      <c r="G13" s="40"/>
      <c r="H13" s="43">
        <f>C13</f>
        <v>35</v>
      </c>
      <c r="I13" s="43">
        <f>D13</f>
        <v>45</v>
      </c>
      <c r="J13" s="44">
        <f>E13</f>
        <v>55</v>
      </c>
      <c r="K13" s="42"/>
      <c r="L13" s="40"/>
      <c r="M13" s="43">
        <v>35</v>
      </c>
      <c r="N13" s="43">
        <v>45</v>
      </c>
      <c r="O13" s="43">
        <v>55</v>
      </c>
      <c r="P13" s="45"/>
      <c r="Q13" s="46"/>
      <c r="R13" s="47"/>
      <c r="S13" s="48">
        <f>IF(C13="","",C13)</f>
        <v>35</v>
      </c>
      <c r="T13" s="48">
        <f t="shared" ref="T13:U13" si="0">IF(D13="","",D13)</f>
        <v>45</v>
      </c>
      <c r="U13" s="48">
        <f t="shared" si="0"/>
        <v>55</v>
      </c>
    </row>
    <row r="14" spans="1:21" ht="15.6">
      <c r="A14" s="193" t="s">
        <v>56</v>
      </c>
      <c r="B14" s="49">
        <v>-35</v>
      </c>
      <c r="C14" s="191">
        <v>61.981144996439937</v>
      </c>
      <c r="D14" s="191">
        <v>53.376474725048595</v>
      </c>
      <c r="E14" s="191">
        <v>44.768080940761337</v>
      </c>
      <c r="F14" s="193" t="s">
        <v>77</v>
      </c>
      <c r="G14" s="51">
        <f>IF(B14="","",B14)</f>
        <v>-35</v>
      </c>
      <c r="H14" s="192">
        <v>28.399470188982054</v>
      </c>
      <c r="I14" s="192">
        <v>31.236331176704478</v>
      </c>
      <c r="J14" s="192">
        <v>33.812192304106354</v>
      </c>
      <c r="K14" s="193" t="s">
        <v>56</v>
      </c>
      <c r="L14" s="51">
        <v>-35</v>
      </c>
      <c r="M14" s="53">
        <v>1.0375708969594932</v>
      </c>
      <c r="N14" s="53">
        <v>0.89352781011363047</v>
      </c>
      <c r="O14" s="53">
        <v>0.74942239126961796</v>
      </c>
      <c r="P14" s="45"/>
      <c r="Q14" s="193" t="s">
        <v>56</v>
      </c>
      <c r="R14" s="54">
        <f>IF(B14="","",B14)</f>
        <v>-35</v>
      </c>
      <c r="S14" s="55">
        <f>IF(C14="","",C14/H14)</f>
        <v>2.1824753977447906</v>
      </c>
      <c r="T14" s="55">
        <f t="shared" ref="T14:U19" si="1">IF(D14="","",D14/I14)</f>
        <v>1.7087946219771115</v>
      </c>
      <c r="U14" s="55">
        <f t="shared" si="1"/>
        <v>1.3240218362097873</v>
      </c>
    </row>
    <row r="15" spans="1:21" ht="15.6">
      <c r="A15" s="194"/>
      <c r="B15" s="49">
        <v>-25</v>
      </c>
      <c r="C15" s="191">
        <v>87.768064018720324</v>
      </c>
      <c r="D15" s="191">
        <v>79.15867684829162</v>
      </c>
      <c r="E15" s="191">
        <v>70.542772738327301</v>
      </c>
      <c r="F15" s="194"/>
      <c r="G15" s="51">
        <f t="shared" ref="G15:G19" si="2">IF(B15="","",B15)</f>
        <v>-25</v>
      </c>
      <c r="H15" s="192">
        <v>36.29018938443533</v>
      </c>
      <c r="I15" s="192">
        <v>41.0428551937379</v>
      </c>
      <c r="J15" s="192">
        <v>45.358778640489753</v>
      </c>
      <c r="K15" s="194"/>
      <c r="L15" s="51">
        <v>-25</v>
      </c>
      <c r="M15" s="56">
        <v>0.9186614176611293</v>
      </c>
      <c r="N15" s="56">
        <v>0.82854763981258739</v>
      </c>
      <c r="O15" s="56">
        <v>0.73836564967088925</v>
      </c>
      <c r="P15" s="45"/>
      <c r="Q15" s="194"/>
      <c r="R15" s="54">
        <f t="shared" ref="R15:R19" si="3">IF(B15="","",B15)</f>
        <v>-25</v>
      </c>
      <c r="S15" s="55">
        <f t="shared" ref="S15:S19" si="4">IF(C15="","",C15/H15)</f>
        <v>2.4185066407055893</v>
      </c>
      <c r="T15" s="55">
        <f t="shared" si="1"/>
        <v>1.9286834815617124</v>
      </c>
      <c r="U15" s="55">
        <f t="shared" si="1"/>
        <v>1.5552176414943617</v>
      </c>
    </row>
    <row r="16" spans="1:21" ht="15.6">
      <c r="A16" s="194"/>
      <c r="B16" s="49">
        <v>-15</v>
      </c>
      <c r="C16" s="191">
        <v>125.54212231025623</v>
      </c>
      <c r="D16" s="191">
        <v>116.92462291216799</v>
      </c>
      <c r="E16" s="191">
        <v>108.29781314790446</v>
      </c>
      <c r="F16" s="194"/>
      <c r="G16" s="51">
        <f t="shared" si="2"/>
        <v>-15</v>
      </c>
      <c r="H16" s="192">
        <v>42.882346469045537</v>
      </c>
      <c r="I16" s="192">
        <v>50.204236028071115</v>
      </c>
      <c r="J16" s="192">
        <v>56.913640722315776</v>
      </c>
      <c r="K16" s="194"/>
      <c r="L16" s="51">
        <v>-15</v>
      </c>
      <c r="M16" s="56">
        <v>0.85565949856800716</v>
      </c>
      <c r="N16" s="56">
        <v>0.79692506682361164</v>
      </c>
      <c r="O16" s="56">
        <v>0.73812717826403396</v>
      </c>
      <c r="P16" s="45"/>
      <c r="Q16" s="194"/>
      <c r="R16" s="54">
        <f t="shared" si="3"/>
        <v>-15</v>
      </c>
      <c r="S16" s="55">
        <f t="shared" si="4"/>
        <v>2.9275945149335136</v>
      </c>
      <c r="T16" s="55">
        <f t="shared" si="1"/>
        <v>2.3289792288999469</v>
      </c>
      <c r="U16" s="55">
        <f t="shared" si="1"/>
        <v>1.9028445865253005</v>
      </c>
    </row>
    <row r="17" spans="1:21" ht="15.6">
      <c r="A17" s="194"/>
      <c r="B17" s="49"/>
      <c r="C17" s="50"/>
      <c r="D17" s="50"/>
      <c r="E17" s="50"/>
      <c r="F17" s="194"/>
      <c r="G17" s="51" t="str">
        <f t="shared" si="2"/>
        <v/>
      </c>
      <c r="H17" s="52"/>
      <c r="I17" s="52"/>
      <c r="J17" s="52"/>
      <c r="K17" s="194"/>
      <c r="L17" s="51"/>
      <c r="M17" s="56"/>
      <c r="N17" s="56"/>
      <c r="O17" s="56"/>
      <c r="P17" s="45"/>
      <c r="Q17" s="194"/>
      <c r="R17" s="54" t="str">
        <f t="shared" si="3"/>
        <v/>
      </c>
      <c r="S17" s="55" t="str">
        <f t="shared" si="4"/>
        <v/>
      </c>
      <c r="T17" s="55" t="str">
        <f t="shared" si="1"/>
        <v/>
      </c>
      <c r="U17" s="55" t="str">
        <f t="shared" si="1"/>
        <v/>
      </c>
    </row>
    <row r="18" spans="1:21" ht="15.6">
      <c r="A18" s="194"/>
      <c r="B18" s="49"/>
      <c r="C18" s="57"/>
      <c r="D18" s="57"/>
      <c r="E18" s="57"/>
      <c r="F18" s="194"/>
      <c r="G18" s="51" t="str">
        <f t="shared" si="2"/>
        <v/>
      </c>
      <c r="H18" s="58"/>
      <c r="I18" s="58"/>
      <c r="J18" s="58"/>
      <c r="K18" s="194"/>
      <c r="L18" s="51"/>
      <c r="M18" s="56"/>
      <c r="N18" s="56"/>
      <c r="O18" s="56"/>
      <c r="P18" s="45"/>
      <c r="Q18" s="194"/>
      <c r="R18" s="54" t="str">
        <f t="shared" si="3"/>
        <v/>
      </c>
      <c r="S18" s="55" t="str">
        <f t="shared" si="4"/>
        <v/>
      </c>
      <c r="T18" s="55" t="str">
        <f t="shared" si="1"/>
        <v/>
      </c>
      <c r="U18" s="55" t="str">
        <f t="shared" si="1"/>
        <v/>
      </c>
    </row>
    <row r="19" spans="1:21" ht="13.5" customHeight="1">
      <c r="A19" s="195"/>
      <c r="B19" s="49"/>
      <c r="C19" s="59"/>
      <c r="D19" s="60"/>
      <c r="E19" s="61"/>
      <c r="F19" s="195"/>
      <c r="G19" s="51" t="str">
        <f t="shared" si="2"/>
        <v/>
      </c>
      <c r="H19" s="58"/>
      <c r="I19" s="58"/>
      <c r="J19" s="58"/>
      <c r="K19" s="195"/>
      <c r="L19" s="51"/>
      <c r="M19" s="56"/>
      <c r="N19" s="56"/>
      <c r="O19" s="56"/>
      <c r="P19" s="45"/>
      <c r="Q19" s="195"/>
      <c r="R19" s="54" t="str">
        <f t="shared" si="3"/>
        <v/>
      </c>
      <c r="S19" s="55" t="str">
        <f t="shared" si="4"/>
        <v/>
      </c>
      <c r="T19" s="55" t="str">
        <f t="shared" si="1"/>
        <v/>
      </c>
      <c r="U19" s="55" t="str">
        <f t="shared" si="1"/>
        <v/>
      </c>
    </row>
    <row r="20" spans="1:21" ht="13.5" customHeight="1">
      <c r="B20" s="62"/>
      <c r="D20" s="8"/>
      <c r="E20" s="8"/>
      <c r="F20" s="8"/>
      <c r="G20" s="63"/>
      <c r="H20" s="63"/>
      <c r="P20" s="45"/>
      <c r="Q20" s="45"/>
      <c r="R20" s="45"/>
    </row>
    <row r="21" spans="1:21">
      <c r="A21" s="64" t="s">
        <v>65</v>
      </c>
      <c r="B21" s="65">
        <v>1.2291816435932468</v>
      </c>
      <c r="C21" s="66">
        <v>7.9432733916129285E-3</v>
      </c>
      <c r="D21" s="65" t="s">
        <v>66</v>
      </c>
      <c r="E21" s="67">
        <v>-7.6132007697566756E-2</v>
      </c>
      <c r="F21" s="68" t="s">
        <v>67</v>
      </c>
      <c r="G21" s="69"/>
      <c r="H21" s="70"/>
      <c r="I21" s="71"/>
      <c r="J21" s="71"/>
      <c r="K21" s="71"/>
    </row>
    <row r="22" spans="1:21">
      <c r="A22" s="64" t="s">
        <v>68</v>
      </c>
      <c r="B22" s="72">
        <v>16.820442582430172</v>
      </c>
      <c r="C22" s="73">
        <v>-0.18833800205562351</v>
      </c>
      <c r="D22" s="74" t="s">
        <v>69</v>
      </c>
      <c r="E22" s="75">
        <v>1.0138708523749043</v>
      </c>
      <c r="F22" s="76" t="s">
        <v>70</v>
      </c>
      <c r="G22" s="77">
        <v>2.154643034536366E-2</v>
      </c>
      <c r="H22" s="70" t="s">
        <v>71</v>
      </c>
      <c r="I22" s="71">
        <v>-3.225715913498425E-3</v>
      </c>
      <c r="J22" s="71" t="s">
        <v>72</v>
      </c>
      <c r="K22" s="71"/>
    </row>
    <row r="23" spans="1:21">
      <c r="A23" s="71" t="s">
        <v>60</v>
      </c>
      <c r="F23" s="62"/>
      <c r="G23" s="63"/>
      <c r="H23" s="78"/>
    </row>
    <row r="24" spans="1:21">
      <c r="A24" s="196" t="s">
        <v>42</v>
      </c>
      <c r="B24" s="197"/>
      <c r="C24" s="197"/>
      <c r="D24" s="197"/>
      <c r="E24" s="197"/>
      <c r="F24" s="211" t="s">
        <v>41</v>
      </c>
      <c r="G24" s="197"/>
      <c r="H24" s="197"/>
      <c r="I24" s="197"/>
      <c r="J24" s="198"/>
      <c r="K24" s="211" t="s">
        <v>51</v>
      </c>
      <c r="L24" s="197"/>
      <c r="M24" s="197"/>
      <c r="N24" s="197"/>
      <c r="O24" s="198"/>
      <c r="Q24" s="196" t="s">
        <v>18</v>
      </c>
      <c r="R24" s="197"/>
      <c r="S24" s="197"/>
      <c r="T24" s="197"/>
      <c r="U24" s="198"/>
    </row>
    <row r="25" spans="1:21">
      <c r="A25" s="32"/>
      <c r="B25" s="33"/>
      <c r="C25" s="34" t="s">
        <v>52</v>
      </c>
      <c r="D25" s="34"/>
      <c r="E25" s="34"/>
      <c r="F25" s="35"/>
      <c r="G25" s="33"/>
      <c r="H25" s="34" t="s">
        <v>52</v>
      </c>
      <c r="I25" s="34"/>
      <c r="J25" s="34"/>
      <c r="K25" s="35"/>
      <c r="L25" s="33"/>
      <c r="M25" s="5" t="s">
        <v>52</v>
      </c>
      <c r="N25" s="34"/>
      <c r="O25" s="6"/>
      <c r="Q25" s="37"/>
      <c r="R25" s="38"/>
      <c r="S25" s="5" t="s">
        <v>52</v>
      </c>
      <c r="T25" s="34"/>
      <c r="U25" s="6"/>
    </row>
    <row r="26" spans="1:21" ht="15.6">
      <c r="A26" s="39"/>
      <c r="B26" s="40"/>
      <c r="C26" s="43">
        <v>35</v>
      </c>
      <c r="D26" s="43">
        <v>45</v>
      </c>
      <c r="E26" s="79">
        <v>55</v>
      </c>
      <c r="F26" s="42"/>
      <c r="G26" s="40"/>
      <c r="H26" s="43">
        <v>35</v>
      </c>
      <c r="I26" s="43">
        <v>45</v>
      </c>
      <c r="J26" s="44">
        <v>55</v>
      </c>
      <c r="K26" s="42"/>
      <c r="L26" s="40"/>
      <c r="M26" s="43">
        <v>35</v>
      </c>
      <c r="N26" s="43">
        <v>45</v>
      </c>
      <c r="O26" s="44">
        <v>55</v>
      </c>
      <c r="P26" s="80"/>
      <c r="Q26" s="46"/>
      <c r="R26" s="47"/>
      <c r="S26" s="48">
        <f>IF(C26="","",C26)</f>
        <v>35</v>
      </c>
      <c r="T26" s="48">
        <f t="shared" ref="T26:U26" si="5">IF(D26="","",D26)</f>
        <v>45</v>
      </c>
      <c r="U26" s="48">
        <f t="shared" si="5"/>
        <v>55</v>
      </c>
    </row>
    <row r="27" spans="1:21" ht="15.6">
      <c r="A27" s="193" t="s">
        <v>56</v>
      </c>
      <c r="B27" s="51">
        <v>-35</v>
      </c>
      <c r="C27" s="81">
        <v>57.761254140696046</v>
      </c>
      <c r="D27" s="82">
        <v>53.064113612690264</v>
      </c>
      <c r="E27" s="83">
        <v>47.421142870594402</v>
      </c>
      <c r="F27" s="193" t="s">
        <v>56</v>
      </c>
      <c r="G27" s="51">
        <v>-35</v>
      </c>
      <c r="H27" s="84">
        <v>28.551873320392598</v>
      </c>
      <c r="I27" s="84">
        <v>31.149331223264344</v>
      </c>
      <c r="J27" s="84">
        <v>33.746789126136107</v>
      </c>
      <c r="K27" s="193" t="s">
        <v>56</v>
      </c>
      <c r="L27" s="51">
        <v>-35</v>
      </c>
      <c r="M27" s="53">
        <v>0.96692947946846686</v>
      </c>
      <c r="N27" s="53">
        <v>0.88829885218548155</v>
      </c>
      <c r="O27" s="53">
        <v>0.79383492747533158</v>
      </c>
      <c r="P27" s="80"/>
      <c r="Q27" s="193"/>
      <c r="R27" s="54"/>
      <c r="S27" s="55"/>
      <c r="T27" s="55"/>
      <c r="U27" s="55">
        <f t="shared" ref="U27:U32" si="6">IF(E27="","",E27/J27)</f>
        <v>1.4052045868229823</v>
      </c>
    </row>
    <row r="28" spans="1:21" ht="15.6">
      <c r="A28" s="194"/>
      <c r="B28" s="51">
        <v>-25</v>
      </c>
      <c r="C28" s="85">
        <v>88.731459878673618</v>
      </c>
      <c r="D28" s="86">
        <v>80.125361533198159</v>
      </c>
      <c r="E28" s="87">
        <v>69.786313578902423</v>
      </c>
      <c r="F28" s="194"/>
      <c r="G28" s="51">
        <v>-25</v>
      </c>
      <c r="H28" s="88">
        <v>36.145173468812693</v>
      </c>
      <c r="I28" s="88">
        <v>40.897274406220816</v>
      </c>
      <c r="J28" s="88">
        <v>45.649375343628947</v>
      </c>
      <c r="K28" s="194"/>
      <c r="L28" s="51">
        <v>-25</v>
      </c>
      <c r="M28" s="56">
        <v>0.92874520629619339</v>
      </c>
      <c r="N28" s="56">
        <v>0.83866585231956625</v>
      </c>
      <c r="O28" s="56">
        <v>0.73044785119180022</v>
      </c>
      <c r="P28" s="80"/>
      <c r="Q28" s="194"/>
      <c r="R28" s="54"/>
      <c r="S28" s="55"/>
      <c r="T28" s="55"/>
      <c r="U28" s="55">
        <f t="shared" si="6"/>
        <v>1.528746298357446</v>
      </c>
    </row>
    <row r="29" spans="1:21" ht="15.6">
      <c r="A29" s="194"/>
      <c r="B29" s="51">
        <v>-15</v>
      </c>
      <c r="C29" s="85">
        <v>133.00566360567933</v>
      </c>
      <c r="D29" s="86">
        <v>118.81193357915642</v>
      </c>
      <c r="E29" s="87">
        <v>101.76011177750351</v>
      </c>
      <c r="F29" s="194"/>
      <c r="G29" s="51">
        <v>-15</v>
      </c>
      <c r="H29" s="88">
        <v>43.093330434533101</v>
      </c>
      <c r="I29" s="88">
        <v>50.000074406477601</v>
      </c>
      <c r="J29" s="88">
        <v>56.906818378422095</v>
      </c>
      <c r="K29" s="194"/>
      <c r="L29" s="51">
        <v>-15</v>
      </c>
      <c r="M29" s="56">
        <v>0.90652887917797331</v>
      </c>
      <c r="N29" s="56">
        <v>0.809788441038096</v>
      </c>
      <c r="O29" s="56">
        <v>0.69356805999008997</v>
      </c>
      <c r="P29" s="80"/>
      <c r="Q29" s="194"/>
      <c r="R29" s="54"/>
      <c r="S29" s="55"/>
      <c r="T29" s="55"/>
      <c r="U29" s="55">
        <f t="shared" si="6"/>
        <v>1.7881883872124693</v>
      </c>
    </row>
    <row r="30" spans="1:21" ht="15.6">
      <c r="A30" s="194"/>
      <c r="B30" s="51"/>
      <c r="C30" s="85"/>
      <c r="D30" s="86"/>
      <c r="E30" s="87"/>
      <c r="F30" s="194"/>
      <c r="G30" s="51"/>
      <c r="H30" s="88"/>
      <c r="I30" s="88"/>
      <c r="J30" s="88"/>
      <c r="K30" s="194"/>
      <c r="L30" s="51"/>
      <c r="M30" s="56"/>
      <c r="N30" s="56"/>
      <c r="O30" s="56"/>
      <c r="P30" s="80"/>
      <c r="Q30" s="194"/>
      <c r="R30" s="54"/>
      <c r="S30" s="55"/>
      <c r="T30" s="55"/>
      <c r="U30" s="55" t="str">
        <f t="shared" si="6"/>
        <v/>
      </c>
    </row>
    <row r="31" spans="1:21" ht="15.6">
      <c r="A31" s="194"/>
      <c r="B31" s="51"/>
      <c r="C31" s="85"/>
      <c r="D31" s="86"/>
      <c r="E31" s="87"/>
      <c r="F31" s="194"/>
      <c r="G31" s="51"/>
      <c r="H31" s="88"/>
      <c r="I31" s="88"/>
      <c r="J31" s="88"/>
      <c r="K31" s="194"/>
      <c r="L31" s="51"/>
      <c r="M31" s="56"/>
      <c r="N31" s="56"/>
      <c r="O31" s="56"/>
      <c r="P31" s="80"/>
      <c r="Q31" s="194"/>
      <c r="R31" s="54"/>
      <c r="S31" s="55"/>
      <c r="T31" s="55"/>
      <c r="U31" s="55" t="str">
        <f t="shared" si="6"/>
        <v/>
      </c>
    </row>
    <row r="32" spans="1:21" ht="15.6">
      <c r="A32" s="195"/>
      <c r="B32" s="89"/>
      <c r="C32" s="85"/>
      <c r="D32" s="86"/>
      <c r="E32" s="87"/>
      <c r="F32" s="195"/>
      <c r="G32" s="51"/>
      <c r="H32" s="56"/>
      <c r="I32" s="56"/>
      <c r="J32" s="56"/>
      <c r="K32" s="195"/>
      <c r="L32" s="51"/>
      <c r="M32" s="56"/>
      <c r="N32" s="56"/>
      <c r="O32" s="56"/>
      <c r="P32" s="80"/>
      <c r="Q32" s="195"/>
      <c r="R32" s="54"/>
      <c r="S32" s="55"/>
      <c r="T32" s="55"/>
      <c r="U32" s="55" t="str">
        <f t="shared" si="6"/>
        <v/>
      </c>
    </row>
    <row r="33" spans="1:21">
      <c r="B33" s="8"/>
      <c r="C33" s="8"/>
      <c r="D33" s="62"/>
      <c r="E33" s="90"/>
      <c r="F33" s="62"/>
      <c r="G33" s="4"/>
      <c r="H33" s="62"/>
      <c r="I33" s="63"/>
      <c r="J33" s="63"/>
      <c r="K33" s="63"/>
      <c r="L33" s="63"/>
      <c r="M33" s="63"/>
    </row>
    <row r="34" spans="1:21">
      <c r="B34" s="8"/>
      <c r="C34" s="8"/>
      <c r="E34" s="90"/>
      <c r="G34" s="91"/>
      <c r="H34" s="92"/>
      <c r="I34" s="36"/>
    </row>
    <row r="35" spans="1:21" ht="20.100000000000001" customHeight="1">
      <c r="B35" s="8"/>
      <c r="C35" s="8"/>
      <c r="E35" s="90"/>
      <c r="G35" s="4"/>
      <c r="H35" s="92"/>
    </row>
    <row r="36" spans="1:21" ht="30" customHeight="1">
      <c r="B36" s="62"/>
      <c r="E36" s="90"/>
      <c r="G36" s="92"/>
      <c r="H36" s="92"/>
      <c r="I36" s="36"/>
    </row>
    <row r="37" spans="1:21" ht="20.100000000000001" customHeight="1">
      <c r="B37" s="62"/>
      <c r="G37" s="92"/>
      <c r="H37" s="93"/>
      <c r="I37" s="36"/>
      <c r="M37" s="94"/>
    </row>
    <row r="38" spans="1:21" ht="227.25" customHeight="1">
      <c r="B38" s="62"/>
      <c r="C38" s="95"/>
      <c r="D38" s="8"/>
      <c r="E38" s="8"/>
      <c r="F38" s="8"/>
      <c r="G38" s="92"/>
      <c r="H38" s="93"/>
      <c r="I38" s="36"/>
      <c r="K38" s="8"/>
      <c r="L38" s="8"/>
      <c r="M38" s="96"/>
      <c r="N38" s="8"/>
    </row>
    <row r="39" spans="1:21">
      <c r="B39" s="62"/>
      <c r="C39" s="95"/>
      <c r="D39" s="8" t="s">
        <v>22</v>
      </c>
      <c r="E39" s="8"/>
      <c r="F39" s="8"/>
      <c r="G39" s="92"/>
      <c r="H39" s="93"/>
      <c r="I39" s="36"/>
      <c r="K39" s="8"/>
      <c r="L39" s="8"/>
      <c r="M39" s="96"/>
      <c r="N39" s="8"/>
    </row>
    <row r="40" spans="1:21">
      <c r="B40" s="62"/>
      <c r="C40" s="202" t="s">
        <v>11</v>
      </c>
      <c r="D40" s="202"/>
      <c r="E40" s="202"/>
      <c r="F40" s="202"/>
      <c r="G40" s="202"/>
      <c r="H40" s="97"/>
      <c r="I40" s="197" t="s">
        <v>12</v>
      </c>
      <c r="J40" s="197"/>
      <c r="K40" s="197"/>
      <c r="L40" s="197"/>
      <c r="M40" s="197"/>
      <c r="N40" s="198"/>
      <c r="O40" s="97"/>
      <c r="P40" s="98"/>
      <c r="Q40" s="197" t="s">
        <v>18</v>
      </c>
      <c r="R40" s="197"/>
      <c r="S40" s="197"/>
      <c r="T40" s="197"/>
      <c r="U40" s="198"/>
    </row>
    <row r="41" spans="1:21">
      <c r="A41" s="99"/>
      <c r="B41" s="15"/>
      <c r="C41" s="203" t="s">
        <v>10</v>
      </c>
      <c r="D41" s="203"/>
      <c r="E41" s="203"/>
      <c r="F41" s="203"/>
      <c r="G41" s="203"/>
      <c r="H41" s="99"/>
      <c r="I41" s="203" t="s">
        <v>10</v>
      </c>
      <c r="J41" s="203"/>
      <c r="K41" s="203"/>
      <c r="L41" s="203"/>
      <c r="M41" s="203"/>
      <c r="O41" s="100"/>
      <c r="P41" s="101"/>
      <c r="Q41" s="212" t="s">
        <v>10</v>
      </c>
      <c r="R41" s="201"/>
      <c r="S41" s="201"/>
      <c r="T41" s="201"/>
      <c r="U41" s="213"/>
    </row>
    <row r="42" spans="1:21">
      <c r="A42" s="102"/>
      <c r="B42" s="15"/>
      <c r="C42" s="103">
        <v>35</v>
      </c>
      <c r="D42" s="103">
        <v>40</v>
      </c>
      <c r="E42" s="103">
        <v>45</v>
      </c>
      <c r="F42" s="103">
        <v>50</v>
      </c>
      <c r="G42" s="104">
        <v>55</v>
      </c>
      <c r="H42" s="102"/>
      <c r="I42" s="105"/>
      <c r="J42" s="106">
        <v>35</v>
      </c>
      <c r="K42" s="107">
        <v>40</v>
      </c>
      <c r="L42" s="107">
        <v>45</v>
      </c>
      <c r="M42" s="107">
        <v>50</v>
      </c>
      <c r="N42" s="107">
        <v>55</v>
      </c>
      <c r="O42" s="39"/>
      <c r="P42" s="108"/>
      <c r="Q42" s="48">
        <v>35</v>
      </c>
      <c r="R42" s="48">
        <v>40</v>
      </c>
      <c r="S42" s="48">
        <v>45</v>
      </c>
      <c r="T42" s="48">
        <v>50</v>
      </c>
      <c r="U42" s="48">
        <v>55</v>
      </c>
    </row>
    <row r="43" spans="1:21">
      <c r="A43" s="109"/>
      <c r="B43" s="110">
        <v>-32</v>
      </c>
      <c r="C43" s="111">
        <v>65.854935787912439</v>
      </c>
      <c r="D43" s="111">
        <v>63.132062214653288</v>
      </c>
      <c r="E43" s="111">
        <v>60.136208769065554</v>
      </c>
      <c r="F43" s="111">
        <v>56.852466747899349</v>
      </c>
      <c r="G43" s="112">
        <v>53.265941836028539</v>
      </c>
      <c r="H43" s="109"/>
      <c r="I43" s="113">
        <v>-32</v>
      </c>
      <c r="J43" s="114">
        <v>30.897603399102088</v>
      </c>
      <c r="K43" s="115">
        <v>32.519528805718416</v>
      </c>
      <c r="L43" s="115">
        <v>34.141454212334757</v>
      </c>
      <c r="M43" s="115">
        <v>35.763379618951085</v>
      </c>
      <c r="N43" s="115">
        <v>37.385305025567433</v>
      </c>
      <c r="O43" s="116"/>
      <c r="P43" s="117">
        <v>-32</v>
      </c>
      <c r="Q43" s="118">
        <f>C43/J43/0.86</f>
        <v>2.478363960499153</v>
      </c>
      <c r="R43" s="118">
        <f t="shared" ref="R43:U50" si="7">D43/K43/0.86</f>
        <v>2.2573935528639266</v>
      </c>
      <c r="S43" s="118">
        <f t="shared" si="7"/>
        <v>2.0481208479049831</v>
      </c>
      <c r="T43" s="118">
        <f t="shared" si="7"/>
        <v>1.8484695847724375</v>
      </c>
      <c r="U43" s="118">
        <f t="shared" si="7"/>
        <v>1.6567242564275573</v>
      </c>
    </row>
    <row r="44" spans="1:21">
      <c r="A44" s="119" t="s">
        <v>6</v>
      </c>
      <c r="B44" s="120">
        <v>-30</v>
      </c>
      <c r="C44" s="121">
        <v>71.79460816443499</v>
      </c>
      <c r="D44" s="121">
        <v>68.714780648389379</v>
      </c>
      <c r="E44" s="121">
        <v>65.326187080779405</v>
      </c>
      <c r="F44" s="121">
        <v>61.61196430829947</v>
      </c>
      <c r="G44" s="122">
        <v>57.555265451972701</v>
      </c>
      <c r="H44" s="119" t="s">
        <v>6</v>
      </c>
      <c r="I44" s="123">
        <v>-30</v>
      </c>
      <c r="J44" s="124">
        <v>32.429166292440101</v>
      </c>
      <c r="K44" s="125">
        <v>34.266556002510065</v>
      </c>
      <c r="L44" s="125">
        <v>36.103945712580035</v>
      </c>
      <c r="M44" s="125">
        <v>37.94133542265002</v>
      </c>
      <c r="N44" s="125">
        <v>39.778725132719977</v>
      </c>
      <c r="O44" s="116" t="s">
        <v>6</v>
      </c>
      <c r="P44" s="126">
        <v>-30</v>
      </c>
      <c r="Q44" s="127">
        <f t="shared" ref="Q44:Q50" si="8">C44/J44/0.86</f>
        <v>2.5742907407473576</v>
      </c>
      <c r="R44" s="127">
        <f t="shared" si="7"/>
        <v>2.3317460828229279</v>
      </c>
      <c r="S44" s="127">
        <f t="shared" si="7"/>
        <v>2.1039440746112517</v>
      </c>
      <c r="T44" s="127">
        <f t="shared" si="7"/>
        <v>1.8882260775768729</v>
      </c>
      <c r="U44" s="127">
        <f t="shared" si="7"/>
        <v>1.6824251417420815</v>
      </c>
    </row>
    <row r="45" spans="1:21">
      <c r="A45" s="119" t="s">
        <v>7</v>
      </c>
      <c r="B45" s="120">
        <v>-28</v>
      </c>
      <c r="C45" s="121">
        <v>78.19848044565812</v>
      </c>
      <c r="D45" s="121">
        <v>74.73380796409414</v>
      </c>
      <c r="E45" s="121">
        <v>70.921787055865749</v>
      </c>
      <c r="F45" s="121">
        <v>66.743447404321842</v>
      </c>
      <c r="G45" s="122">
        <v>62.179837000725684</v>
      </c>
      <c r="H45" s="119" t="s">
        <v>7</v>
      </c>
      <c r="I45" s="123">
        <v>-28</v>
      </c>
      <c r="J45" s="124">
        <v>33.934923458470131</v>
      </c>
      <c r="K45" s="125">
        <v>35.987777471993731</v>
      </c>
      <c r="L45" s="125">
        <v>38.040631485517352</v>
      </c>
      <c r="M45" s="125">
        <v>40.093485499040952</v>
      </c>
      <c r="N45" s="125">
        <v>42.146339512564573</v>
      </c>
      <c r="O45" s="116" t="s">
        <v>7</v>
      </c>
      <c r="P45" s="126">
        <v>-28</v>
      </c>
      <c r="Q45" s="127">
        <f t="shared" si="8"/>
        <v>2.6794952328613699</v>
      </c>
      <c r="R45" s="127">
        <f t="shared" si="7"/>
        <v>2.4147025130980051</v>
      </c>
      <c r="S45" s="127">
        <f t="shared" si="7"/>
        <v>2.167871326804951</v>
      </c>
      <c r="T45" s="127">
        <f t="shared" si="7"/>
        <v>1.9356925147932993</v>
      </c>
      <c r="U45" s="127">
        <f t="shared" si="7"/>
        <v>1.7155021499743981</v>
      </c>
    </row>
    <row r="46" spans="1:21">
      <c r="A46" s="119" t="s">
        <v>8</v>
      </c>
      <c r="B46" s="120">
        <v>-26</v>
      </c>
      <c r="C46" s="121">
        <v>85.092412240383666</v>
      </c>
      <c r="D46" s="121">
        <v>81.21345106659497</v>
      </c>
      <c r="E46" s="121">
        <v>76.945607229877169</v>
      </c>
      <c r="F46" s="121">
        <v>72.267642035336095</v>
      </c>
      <c r="G46" s="122">
        <v>67.158337285163398</v>
      </c>
      <c r="H46" s="119" t="s">
        <v>8</v>
      </c>
      <c r="I46" s="123">
        <v>-26</v>
      </c>
      <c r="J46" s="124">
        <v>35.414874897192171</v>
      </c>
      <c r="K46" s="125">
        <v>37.683193214169407</v>
      </c>
      <c r="L46" s="125">
        <v>39.951511531146643</v>
      </c>
      <c r="M46" s="125">
        <v>42.219829848123908</v>
      </c>
      <c r="N46" s="125">
        <v>44.488148165101144</v>
      </c>
      <c r="O46" s="116" t="s">
        <v>8</v>
      </c>
      <c r="P46" s="126">
        <v>-26</v>
      </c>
      <c r="Q46" s="127">
        <f t="shared" si="8"/>
        <v>2.7938730740409783</v>
      </c>
      <c r="R46" s="127">
        <f t="shared" si="7"/>
        <v>2.5060043316808041</v>
      </c>
      <c r="S46" s="127">
        <f t="shared" si="7"/>
        <v>2.2395056628597789</v>
      </c>
      <c r="T46" s="127">
        <f t="shared" si="7"/>
        <v>1.9903477158444225</v>
      </c>
      <c r="U46" s="127">
        <f t="shared" si="7"/>
        <v>1.7553234532636235</v>
      </c>
    </row>
    <row r="47" spans="1:21">
      <c r="A47" s="119" t="s">
        <v>5</v>
      </c>
      <c r="B47" s="120">
        <v>-24</v>
      </c>
      <c r="C47" s="121">
        <v>92.503099778253713</v>
      </c>
      <c r="D47" s="121">
        <v>88.178803412672522</v>
      </c>
      <c r="E47" s="121">
        <v>83.42097760180971</v>
      </c>
      <c r="F47" s="121">
        <v>78.205945281877732</v>
      </c>
      <c r="G47" s="122">
        <v>72.510052239401531</v>
      </c>
      <c r="H47" s="119" t="s">
        <v>5</v>
      </c>
      <c r="I47" s="123">
        <v>-24</v>
      </c>
      <c r="J47" s="124">
        <v>36.869020608606213</v>
      </c>
      <c r="K47" s="125">
        <v>39.352803229037093</v>
      </c>
      <c r="L47" s="125">
        <v>41.836585849467987</v>
      </c>
      <c r="M47" s="125">
        <v>44.32036846989886</v>
      </c>
      <c r="N47" s="125">
        <v>46.804151090329754</v>
      </c>
      <c r="O47" s="116" t="s">
        <v>5</v>
      </c>
      <c r="P47" s="126">
        <v>-24</v>
      </c>
      <c r="Q47" s="127">
        <f t="shared" si="8"/>
        <v>2.9174017143025006</v>
      </c>
      <c r="R47" s="127">
        <f t="shared" si="7"/>
        <v>2.6054939909505839</v>
      </c>
      <c r="S47" s="127">
        <f t="shared" si="7"/>
        <v>2.3185720052613679</v>
      </c>
      <c r="T47" s="127">
        <f t="shared" si="7"/>
        <v>2.0518138457798236</v>
      </c>
      <c r="U47" s="127">
        <f t="shared" si="7"/>
        <v>1.8014217172562379</v>
      </c>
    </row>
    <row r="48" spans="1:21">
      <c r="A48" s="128"/>
      <c r="B48" s="120">
        <v>-22</v>
      </c>
      <c r="C48" s="121">
        <v>100.45809399321821</v>
      </c>
      <c r="D48" s="121">
        <v>95.655762031553067</v>
      </c>
      <c r="E48" s="121">
        <v>90.371975485051806</v>
      </c>
      <c r="F48" s="121">
        <v>84.580439874665856</v>
      </c>
      <c r="G48" s="122">
        <v>78.254886097679645</v>
      </c>
      <c r="H48" s="128"/>
      <c r="I48" s="123">
        <v>-22</v>
      </c>
      <c r="J48" s="124">
        <v>38.297360592712288</v>
      </c>
      <c r="K48" s="125">
        <v>40.996607516596804</v>
      </c>
      <c r="L48" s="125">
        <v>43.695854440481313</v>
      </c>
      <c r="M48" s="125">
        <v>46.39510136436585</v>
      </c>
      <c r="N48" s="125">
        <v>49.094348288250352</v>
      </c>
      <c r="O48" s="129"/>
      <c r="P48" s="126">
        <v>-22</v>
      </c>
      <c r="Q48" s="127">
        <f t="shared" si="8"/>
        <v>3.0501250058377383</v>
      </c>
      <c r="R48" s="127">
        <f t="shared" si="7"/>
        <v>2.7130935218046779</v>
      </c>
      <c r="S48" s="127">
        <f t="shared" si="7"/>
        <v>2.4048892914455924</v>
      </c>
      <c r="T48" s="127">
        <f t="shared" si="7"/>
        <v>2.1198218303066363</v>
      </c>
      <c r="U48" s="127">
        <f t="shared" si="7"/>
        <v>1.8534527246943919</v>
      </c>
    </row>
    <row r="49" spans="1:21">
      <c r="A49" s="128"/>
      <c r="B49" s="120">
        <v>-20</v>
      </c>
      <c r="C49" s="121">
        <v>108.98582274415762</v>
      </c>
      <c r="D49" s="121">
        <v>103.67104843600711</v>
      </c>
      <c r="E49" s="121">
        <v>97.823444977674157</v>
      </c>
      <c r="F49" s="121">
        <v>91.413912085627842</v>
      </c>
      <c r="G49" s="122">
        <v>84.413377560502298</v>
      </c>
      <c r="H49" s="128"/>
      <c r="I49" s="123">
        <v>-20</v>
      </c>
      <c r="J49" s="124">
        <v>39.699894849510365</v>
      </c>
      <c r="K49" s="125">
        <v>42.61460607684851</v>
      </c>
      <c r="L49" s="125">
        <v>45.529317304186662</v>
      </c>
      <c r="M49" s="125">
        <v>48.444028531524822</v>
      </c>
      <c r="N49" s="125">
        <v>51.358739758862981</v>
      </c>
      <c r="O49" s="116" t="s">
        <v>9</v>
      </c>
      <c r="P49" s="126">
        <v>-20</v>
      </c>
      <c r="Q49" s="127">
        <f t="shared" si="8"/>
        <v>3.1921419778486526</v>
      </c>
      <c r="R49" s="127">
        <f t="shared" si="7"/>
        <v>2.8287890429435141</v>
      </c>
      <c r="S49" s="127">
        <f t="shared" si="7"/>
        <v>2.4983504820540126</v>
      </c>
      <c r="T49" s="127">
        <f t="shared" si="7"/>
        <v>2.1941867725146729</v>
      </c>
      <c r="U49" s="127">
        <f t="shared" si="7"/>
        <v>1.9111662522772854</v>
      </c>
    </row>
    <row r="50" spans="1:21">
      <c r="A50" s="102"/>
      <c r="B50" s="130">
        <v>-18</v>
      </c>
      <c r="C50" s="131">
        <v>118.11561790745304</v>
      </c>
      <c r="D50" s="131">
        <v>112.25223411484842</v>
      </c>
      <c r="E50" s="131">
        <v>105.80102069444266</v>
      </c>
      <c r="F50" s="131">
        <v>98.729873530252249</v>
      </c>
      <c r="G50" s="132">
        <v>91.006719489403807</v>
      </c>
      <c r="H50" s="102"/>
      <c r="I50" s="133">
        <v>-18</v>
      </c>
      <c r="J50" s="134">
        <v>41.076623379000452</v>
      </c>
      <c r="K50" s="135">
        <v>44.206798909792234</v>
      </c>
      <c r="L50" s="135">
        <v>47.336974440584029</v>
      </c>
      <c r="M50" s="135">
        <v>50.467149971375818</v>
      </c>
      <c r="N50" s="135">
        <v>53.597325502167614</v>
      </c>
      <c r="O50" s="136"/>
      <c r="P50" s="137">
        <v>-18</v>
      </c>
      <c r="Q50" s="138">
        <f t="shared" si="8"/>
        <v>3.3435986323809286</v>
      </c>
      <c r="R50" s="138">
        <f t="shared" si="7"/>
        <v>2.9526194350390758</v>
      </c>
      <c r="S50" s="138">
        <f t="shared" si="7"/>
        <v>2.5989080232065365</v>
      </c>
      <c r="T50" s="138">
        <f t="shared" si="7"/>
        <v>2.2747902068704717</v>
      </c>
      <c r="U50" s="138">
        <f t="shared" si="7"/>
        <v>1.9743852115132918</v>
      </c>
    </row>
    <row r="51" spans="1:21">
      <c r="B51" s="62"/>
      <c r="C51" s="95"/>
      <c r="D51" s="8"/>
      <c r="E51" s="8"/>
      <c r="F51" s="8"/>
      <c r="G51" s="92"/>
      <c r="H51" s="93"/>
      <c r="I51" s="36"/>
      <c r="K51" s="8"/>
      <c r="L51" s="8"/>
      <c r="M51" s="96"/>
      <c r="N51" s="8"/>
    </row>
    <row r="52" spans="1:21" hidden="1">
      <c r="B52" s="62"/>
      <c r="C52" s="95"/>
      <c r="D52" s="8"/>
      <c r="E52" s="8"/>
      <c r="F52" s="8"/>
      <c r="G52" s="92"/>
      <c r="H52" s="93"/>
      <c r="I52" s="36"/>
      <c r="K52" s="8"/>
      <c r="L52" s="8"/>
      <c r="M52" s="96"/>
      <c r="N52" s="8"/>
    </row>
    <row r="53" spans="1:21" hidden="1">
      <c r="B53" s="62"/>
      <c r="C53" s="95"/>
      <c r="D53" s="8"/>
      <c r="E53" s="8"/>
      <c r="F53" s="8"/>
      <c r="G53" s="92"/>
      <c r="H53" s="93"/>
      <c r="I53" s="36"/>
      <c r="K53" s="8"/>
      <c r="L53" s="8"/>
      <c r="M53" s="96"/>
      <c r="N53" s="8"/>
    </row>
    <row r="54" spans="1:21" hidden="1">
      <c r="B54" s="62"/>
      <c r="C54" s="95"/>
      <c r="D54" s="8"/>
      <c r="E54" s="8"/>
      <c r="F54" s="8"/>
      <c r="G54" s="92"/>
      <c r="H54" s="93"/>
      <c r="I54" s="36"/>
      <c r="K54" s="8"/>
      <c r="L54" s="8"/>
      <c r="M54" s="96"/>
      <c r="N54" s="8"/>
    </row>
    <row r="55" spans="1:21" hidden="1">
      <c r="B55" s="62"/>
      <c r="C55" s="8"/>
      <c r="D55" s="8"/>
      <c r="E55" s="8"/>
      <c r="F55" s="8"/>
      <c r="G55" s="36"/>
      <c r="H55" s="93"/>
      <c r="I55" s="36"/>
      <c r="K55" s="8"/>
      <c r="L55" s="8"/>
      <c r="M55" s="8"/>
      <c r="N55" s="8"/>
    </row>
    <row r="56" spans="1:21">
      <c r="B56" s="139"/>
      <c r="C56" s="139"/>
      <c r="D56" s="139"/>
      <c r="E56" s="139"/>
      <c r="F56" s="8"/>
      <c r="G56" s="36"/>
      <c r="H56" s="93"/>
      <c r="I56" s="36"/>
      <c r="K56" s="8"/>
      <c r="L56" s="8"/>
      <c r="M56" s="8"/>
      <c r="N56" s="8"/>
    </row>
    <row r="57" spans="1:21" ht="18" customHeight="1">
      <c r="A57" s="140"/>
      <c r="B57" s="141"/>
      <c r="C57" s="197" t="s">
        <v>25</v>
      </c>
      <c r="D57" s="197"/>
      <c r="E57" s="197"/>
      <c r="F57" s="197"/>
      <c r="G57" s="198"/>
      <c r="H57" s="97"/>
      <c r="I57" s="98"/>
      <c r="J57" s="197" t="s">
        <v>15</v>
      </c>
      <c r="K57" s="197"/>
      <c r="L57" s="197"/>
      <c r="M57" s="197"/>
      <c r="N57" s="198"/>
      <c r="O57" s="97"/>
      <c r="P57" s="98"/>
      <c r="Q57" s="197" t="s">
        <v>23</v>
      </c>
      <c r="R57" s="197"/>
      <c r="S57" s="197"/>
      <c r="T57" s="197"/>
      <c r="U57" s="198"/>
    </row>
    <row r="58" spans="1:21">
      <c r="A58" s="100"/>
      <c r="B58" s="101"/>
      <c r="C58" s="201" t="s">
        <v>10</v>
      </c>
      <c r="D58" s="201"/>
      <c r="E58" s="201"/>
      <c r="F58" s="201"/>
      <c r="G58" s="201"/>
      <c r="H58" s="100"/>
      <c r="I58" s="101"/>
      <c r="J58" s="212" t="s">
        <v>10</v>
      </c>
      <c r="K58" s="201"/>
      <c r="L58" s="201"/>
      <c r="M58" s="201"/>
      <c r="N58" s="213"/>
      <c r="O58" s="100"/>
      <c r="P58" s="101"/>
      <c r="Q58" s="212" t="s">
        <v>10</v>
      </c>
      <c r="R58" s="201"/>
      <c r="S58" s="201"/>
      <c r="T58" s="201"/>
      <c r="U58" s="213"/>
    </row>
    <row r="59" spans="1:21">
      <c r="A59" s="39"/>
      <c r="B59" s="108"/>
      <c r="C59" s="142">
        <v>35</v>
      </c>
      <c r="D59" s="142">
        <v>40</v>
      </c>
      <c r="E59" s="142">
        <v>45</v>
      </c>
      <c r="F59" s="142">
        <v>50</v>
      </c>
      <c r="G59" s="26">
        <v>55</v>
      </c>
      <c r="H59" s="39"/>
      <c r="I59" s="108"/>
      <c r="J59" s="143">
        <v>35</v>
      </c>
      <c r="K59" s="48">
        <v>40</v>
      </c>
      <c r="L59" s="48">
        <v>45</v>
      </c>
      <c r="M59" s="48">
        <v>50</v>
      </c>
      <c r="N59" s="48">
        <v>55</v>
      </c>
      <c r="O59" s="39"/>
      <c r="P59" s="108"/>
      <c r="Q59" s="48">
        <v>35</v>
      </c>
      <c r="R59" s="48">
        <v>40</v>
      </c>
      <c r="S59" s="48">
        <v>45</v>
      </c>
      <c r="T59" s="48">
        <v>50</v>
      </c>
      <c r="U59" s="48">
        <v>55</v>
      </c>
    </row>
    <row r="60" spans="1:21">
      <c r="A60" s="109"/>
      <c r="B60" s="110">
        <v>-32</v>
      </c>
      <c r="C60" s="144">
        <v>49.447101554344584</v>
      </c>
      <c r="D60" s="144">
        <v>45.034333313345357</v>
      </c>
      <c r="E60" s="144">
        <v>40.60494803179575</v>
      </c>
      <c r="F60" s="144">
        <v>36.184556547142215</v>
      </c>
      <c r="G60" s="145">
        <v>31.802509393843383</v>
      </c>
      <c r="H60" s="109"/>
      <c r="I60" s="113">
        <v>-32</v>
      </c>
      <c r="J60" s="146">
        <f>J43</f>
        <v>30.897603399102088</v>
      </c>
      <c r="K60" s="146">
        <f>K43</f>
        <v>32.519528805718416</v>
      </c>
      <c r="L60" s="146">
        <f>L43</f>
        <v>34.141454212334757</v>
      </c>
      <c r="M60" s="146">
        <f>M43</f>
        <v>35.763379618951085</v>
      </c>
      <c r="N60" s="146">
        <f>N43</f>
        <v>37.385305025567433</v>
      </c>
      <c r="O60" s="101"/>
      <c r="P60" s="117">
        <v>-32</v>
      </c>
      <c r="Q60" s="118">
        <f>C60/J60/0.86</f>
        <v>1.8608766826240339</v>
      </c>
      <c r="R60" s="118">
        <f t="shared" ref="R60:U67" si="9">D60/K60/0.86</f>
        <v>1.6102786779468623</v>
      </c>
      <c r="S60" s="118">
        <f t="shared" si="9"/>
        <v>1.382924568979468</v>
      </c>
      <c r="T60" s="118">
        <f t="shared" si="9"/>
        <v>1.1764846108166827</v>
      </c>
      <c r="U60" s="118">
        <f t="shared" si="9"/>
        <v>0.98914966884914757</v>
      </c>
    </row>
    <row r="61" spans="1:21">
      <c r="A61" s="119" t="s">
        <v>6</v>
      </c>
      <c r="B61" s="120">
        <v>-30</v>
      </c>
      <c r="C61" s="147">
        <v>54.493156621396331</v>
      </c>
      <c r="D61" s="147">
        <v>49.576671769206172</v>
      </c>
      <c r="E61" s="147">
        <v>44.64059487412726</v>
      </c>
      <c r="F61" s="147">
        <v>39.713848585553905</v>
      </c>
      <c r="G61" s="148">
        <v>34.829587472445766</v>
      </c>
      <c r="H61" s="119" t="s">
        <v>6</v>
      </c>
      <c r="I61" s="123">
        <v>-30</v>
      </c>
      <c r="J61" s="149">
        <f t="shared" ref="J61:N67" si="10">J44</f>
        <v>32.429166292440101</v>
      </c>
      <c r="K61" s="149">
        <f t="shared" si="10"/>
        <v>34.266556002510065</v>
      </c>
      <c r="L61" s="149">
        <f t="shared" si="10"/>
        <v>36.103945712580035</v>
      </c>
      <c r="M61" s="149">
        <f t="shared" si="10"/>
        <v>37.94133542265002</v>
      </c>
      <c r="N61" s="149">
        <f t="shared" si="10"/>
        <v>39.778725132719977</v>
      </c>
      <c r="O61" s="101" t="s">
        <v>6</v>
      </c>
      <c r="P61" s="126">
        <v>-30</v>
      </c>
      <c r="Q61" s="127">
        <f t="shared" ref="Q61:Q67" si="11">C61/J61/0.86</f>
        <v>1.9539242863929647</v>
      </c>
      <c r="R61" s="127">
        <f t="shared" si="9"/>
        <v>1.6823194239499344</v>
      </c>
      <c r="S61" s="127">
        <f t="shared" si="9"/>
        <v>1.4377284098397267</v>
      </c>
      <c r="T61" s="127">
        <f t="shared" si="9"/>
        <v>1.2171130296211137</v>
      </c>
      <c r="U61" s="127">
        <f t="shared" si="9"/>
        <v>1.0181201177682926</v>
      </c>
    </row>
    <row r="62" spans="1:21">
      <c r="A62" s="119" t="s">
        <v>7</v>
      </c>
      <c r="B62" s="120">
        <v>-28</v>
      </c>
      <c r="C62" s="147">
        <v>59.996880572133328</v>
      </c>
      <c r="D62" s="147">
        <v>54.532591534256071</v>
      </c>
      <c r="E62" s="147">
        <v>49.045075339897316</v>
      </c>
      <c r="F62" s="147">
        <v>43.566805242697235</v>
      </c>
      <c r="G62" s="148">
        <v>38.135017599451807</v>
      </c>
      <c r="H62" s="119" t="s">
        <v>7</v>
      </c>
      <c r="I62" s="123">
        <v>-28</v>
      </c>
      <c r="J62" s="149">
        <f t="shared" si="10"/>
        <v>33.934923458470131</v>
      </c>
      <c r="K62" s="149">
        <f t="shared" si="10"/>
        <v>35.987777471993731</v>
      </c>
      <c r="L62" s="149">
        <f t="shared" si="10"/>
        <v>38.040631485517352</v>
      </c>
      <c r="M62" s="149">
        <f t="shared" si="10"/>
        <v>40.093485499040952</v>
      </c>
      <c r="N62" s="149">
        <f t="shared" si="10"/>
        <v>42.146339512564573</v>
      </c>
      <c r="O62" s="101" t="s">
        <v>7</v>
      </c>
      <c r="P62" s="126">
        <v>-28</v>
      </c>
      <c r="Q62" s="127">
        <f t="shared" si="11"/>
        <v>2.0558117569982817</v>
      </c>
      <c r="R62" s="127">
        <f t="shared" si="9"/>
        <v>1.7619868358210893</v>
      </c>
      <c r="S62" s="127">
        <f t="shared" si="9"/>
        <v>1.4991643183863941</v>
      </c>
      <c r="T62" s="127">
        <f t="shared" si="9"/>
        <v>1.2635238676072005</v>
      </c>
      <c r="U62" s="127">
        <f t="shared" si="9"/>
        <v>1.052120877711654</v>
      </c>
    </row>
    <row r="63" spans="1:21">
      <c r="A63" s="119" t="s">
        <v>8</v>
      </c>
      <c r="B63" s="120">
        <v>-26</v>
      </c>
      <c r="C63" s="147">
        <v>65.990973816707623</v>
      </c>
      <c r="D63" s="147">
        <v>59.93186521339377</v>
      </c>
      <c r="E63" s="147">
        <v>53.845158402212249</v>
      </c>
      <c r="F63" s="147">
        <v>47.767127802242136</v>
      </c>
      <c r="G63" s="148">
        <v>41.739383337687087</v>
      </c>
      <c r="H63" s="119" t="s">
        <v>8</v>
      </c>
      <c r="I63" s="123">
        <v>-26</v>
      </c>
      <c r="J63" s="149">
        <f t="shared" si="10"/>
        <v>35.414874897192171</v>
      </c>
      <c r="K63" s="149">
        <f t="shared" si="10"/>
        <v>37.683193214169407</v>
      </c>
      <c r="L63" s="149">
        <f t="shared" si="10"/>
        <v>39.951511531146643</v>
      </c>
      <c r="M63" s="149">
        <f t="shared" si="10"/>
        <v>42.219829848123908</v>
      </c>
      <c r="N63" s="149">
        <f t="shared" si="10"/>
        <v>44.488148165101144</v>
      </c>
      <c r="O63" s="101" t="s">
        <v>8</v>
      </c>
      <c r="P63" s="126">
        <v>-26</v>
      </c>
      <c r="Q63" s="127">
        <f t="shared" si="11"/>
        <v>2.1667079357839971</v>
      </c>
      <c r="R63" s="127">
        <f t="shared" si="9"/>
        <v>1.8493182084741062</v>
      </c>
      <c r="S63" s="127">
        <f t="shared" si="9"/>
        <v>1.5671659695800497</v>
      </c>
      <c r="T63" s="127">
        <f t="shared" si="9"/>
        <v>1.3155707179037905</v>
      </c>
      <c r="U63" s="127">
        <f t="shared" si="9"/>
        <v>1.090945986144731</v>
      </c>
    </row>
    <row r="64" spans="1:21">
      <c r="A64" s="119" t="s">
        <v>5</v>
      </c>
      <c r="B64" s="120">
        <v>-24</v>
      </c>
      <c r="C64" s="147">
        <v>72.509853263978471</v>
      </c>
      <c r="D64" s="147">
        <v>65.805842059078756</v>
      </c>
      <c r="E64" s="147">
        <v>59.069044151341828</v>
      </c>
      <c r="F64" s="147">
        <v>52.3397977542866</v>
      </c>
      <c r="G64" s="148">
        <v>45.664392550806191</v>
      </c>
      <c r="H64" s="119" t="s">
        <v>5</v>
      </c>
      <c r="I64" s="123">
        <v>-24</v>
      </c>
      <c r="J64" s="149">
        <f t="shared" si="10"/>
        <v>36.869020608606213</v>
      </c>
      <c r="K64" s="149">
        <f t="shared" si="10"/>
        <v>39.352803229037093</v>
      </c>
      <c r="L64" s="149">
        <f t="shared" si="10"/>
        <v>41.836585849467987</v>
      </c>
      <c r="M64" s="149">
        <f t="shared" si="10"/>
        <v>44.32036846989886</v>
      </c>
      <c r="N64" s="149">
        <f t="shared" si="10"/>
        <v>46.804151090329754</v>
      </c>
      <c r="O64" s="101" t="s">
        <v>5</v>
      </c>
      <c r="P64" s="126">
        <v>-24</v>
      </c>
      <c r="Q64" s="127">
        <f t="shared" si="11"/>
        <v>2.2868462864839474</v>
      </c>
      <c r="R64" s="127">
        <f t="shared" si="9"/>
        <v>1.9444211014291468</v>
      </c>
      <c r="S64" s="127">
        <f t="shared" si="9"/>
        <v>1.6417433130617953</v>
      </c>
      <c r="T64" s="127">
        <f t="shared" si="9"/>
        <v>1.373188717692621</v>
      </c>
      <c r="U64" s="127">
        <f t="shared" si="9"/>
        <v>1.1344748197772805</v>
      </c>
    </row>
    <row r="65" spans="1:21">
      <c r="A65" s="128"/>
      <c r="B65" s="120">
        <v>-22</v>
      </c>
      <c r="C65" s="147">
        <v>79.589726166595867</v>
      </c>
      <c r="D65" s="147">
        <v>72.187515933190127</v>
      </c>
      <c r="E65" s="147">
        <v>64.74642561552065</v>
      </c>
      <c r="F65" s="147">
        <v>57.31113222737563</v>
      </c>
      <c r="G65" s="148">
        <v>49.932926212350409</v>
      </c>
      <c r="H65" s="128"/>
      <c r="I65" s="123">
        <v>-22</v>
      </c>
      <c r="J65" s="149">
        <f t="shared" si="10"/>
        <v>38.297360592712288</v>
      </c>
      <c r="K65" s="149">
        <f t="shared" si="10"/>
        <v>40.996607516596804</v>
      </c>
      <c r="L65" s="149">
        <f t="shared" si="10"/>
        <v>43.695854440481313</v>
      </c>
      <c r="M65" s="149">
        <f t="shared" si="10"/>
        <v>46.39510136436585</v>
      </c>
      <c r="N65" s="149">
        <f t="shared" si="10"/>
        <v>49.094348288250352</v>
      </c>
      <c r="O65" s="150"/>
      <c r="P65" s="126">
        <v>-22</v>
      </c>
      <c r="Q65" s="127">
        <f t="shared" si="11"/>
        <v>2.4165162242168412</v>
      </c>
      <c r="R65" s="127">
        <f t="shared" si="9"/>
        <v>2.0474614144927976</v>
      </c>
      <c r="S65" s="127">
        <f t="shared" si="9"/>
        <v>1.722967599041801</v>
      </c>
      <c r="T65" s="127">
        <f t="shared" si="9"/>
        <v>1.436376890392248</v>
      </c>
      <c r="U65" s="127">
        <f t="shared" si="9"/>
        <v>1.1826522630768874</v>
      </c>
    </row>
    <row r="66" spans="1:21">
      <c r="A66" s="128"/>
      <c r="B66" s="120">
        <v>-20</v>
      </c>
      <c r="C66" s="147">
        <v>87.268670523678551</v>
      </c>
      <c r="D66" s="147">
        <v>79.111599215526937</v>
      </c>
      <c r="E66" s="147">
        <v>70.908555905676238</v>
      </c>
      <c r="F66" s="147">
        <v>62.708844112936546</v>
      </c>
      <c r="G66" s="148">
        <v>54.569091270396669</v>
      </c>
      <c r="H66" s="128"/>
      <c r="I66" s="123">
        <v>-20</v>
      </c>
      <c r="J66" s="149">
        <f t="shared" si="10"/>
        <v>39.699894849510365</v>
      </c>
      <c r="K66" s="149">
        <f t="shared" si="10"/>
        <v>42.61460607684851</v>
      </c>
      <c r="L66" s="149">
        <f t="shared" si="10"/>
        <v>45.529317304186662</v>
      </c>
      <c r="M66" s="149">
        <f t="shared" si="10"/>
        <v>48.444028531524822</v>
      </c>
      <c r="N66" s="149">
        <f t="shared" si="10"/>
        <v>51.358739758862981</v>
      </c>
      <c r="O66" s="101" t="s">
        <v>9</v>
      </c>
      <c r="P66" s="126">
        <v>-20</v>
      </c>
      <c r="Q66" s="127">
        <f t="shared" si="11"/>
        <v>2.5560571046348421</v>
      </c>
      <c r="R66" s="127">
        <f t="shared" si="9"/>
        <v>2.1586549804091146</v>
      </c>
      <c r="S66" s="127">
        <f t="shared" si="9"/>
        <v>1.8109608066770837</v>
      </c>
      <c r="T66" s="127">
        <f t="shared" si="9"/>
        <v>1.5051857330359537</v>
      </c>
      <c r="U66" s="127">
        <f t="shared" si="9"/>
        <v>1.2354748579829311</v>
      </c>
    </row>
    <row r="67" spans="1:21">
      <c r="A67" s="102"/>
      <c r="B67" s="130">
        <v>-18</v>
      </c>
      <c r="C67" s="151">
        <v>95.586723091913399</v>
      </c>
      <c r="D67" s="151">
        <v>86.614603615262325</v>
      </c>
      <c r="E67" s="151">
        <v>77.588321543539607</v>
      </c>
      <c r="F67" s="151">
        <v>68.562107642785833</v>
      </c>
      <c r="G67" s="152">
        <v>59.598278228173655</v>
      </c>
      <c r="H67" s="102"/>
      <c r="I67" s="133">
        <v>-18</v>
      </c>
      <c r="J67" s="153">
        <f t="shared" si="10"/>
        <v>41.076623379000452</v>
      </c>
      <c r="K67" s="153">
        <f t="shared" si="10"/>
        <v>44.206798909792234</v>
      </c>
      <c r="L67" s="153">
        <f t="shared" si="10"/>
        <v>47.336974440584029</v>
      </c>
      <c r="M67" s="153">
        <f t="shared" si="10"/>
        <v>50.467149971375818</v>
      </c>
      <c r="N67" s="153">
        <f t="shared" si="10"/>
        <v>53.597325502167614</v>
      </c>
      <c r="O67" s="47"/>
      <c r="P67" s="137">
        <v>-18</v>
      </c>
      <c r="Q67" s="138">
        <f t="shared" si="11"/>
        <v>2.7058541644705674</v>
      </c>
      <c r="R67" s="138">
        <f t="shared" si="9"/>
        <v>2.2782616667653546</v>
      </c>
      <c r="S67" s="138">
        <f t="shared" si="9"/>
        <v>1.9058881477995544</v>
      </c>
      <c r="T67" s="138">
        <f t="shared" si="9"/>
        <v>1.5797084048772594</v>
      </c>
      <c r="U67" s="138">
        <f t="shared" si="9"/>
        <v>1.2929809999256301</v>
      </c>
    </row>
    <row r="68" spans="1:21">
      <c r="B68" s="62"/>
      <c r="C68" s="154"/>
      <c r="D68" s="154"/>
      <c r="E68" s="154"/>
      <c r="F68" s="154"/>
      <c r="G68" s="154"/>
      <c r="I68" s="155"/>
      <c r="J68" s="156"/>
      <c r="K68" s="156"/>
      <c r="L68" s="156"/>
      <c r="M68" s="156"/>
      <c r="N68" s="156"/>
    </row>
    <row r="69" spans="1:21">
      <c r="B69" s="62"/>
    </row>
    <row r="70" spans="1:21">
      <c r="A70" s="62"/>
      <c r="B70" s="62"/>
      <c r="C70" s="62"/>
      <c r="D70" s="207"/>
      <c r="E70" s="207"/>
      <c r="F70" s="207"/>
      <c r="G70" s="207"/>
      <c r="H70" s="207"/>
      <c r="I70" s="207"/>
      <c r="J70" s="207"/>
      <c r="K70" s="207"/>
      <c r="L70" s="207"/>
      <c r="M70" s="207"/>
      <c r="N70" s="207"/>
      <c r="O70" s="97"/>
      <c r="P70" s="98"/>
      <c r="Q70" s="197" t="s">
        <v>24</v>
      </c>
      <c r="R70" s="197"/>
      <c r="S70" s="197"/>
      <c r="T70" s="197"/>
      <c r="U70" s="198"/>
    </row>
    <row r="71" spans="1:21">
      <c r="A71" s="109"/>
      <c r="B71" s="109"/>
      <c r="C71" s="109"/>
      <c r="D71" s="197" t="s">
        <v>14</v>
      </c>
      <c r="E71" s="197"/>
      <c r="F71" s="198"/>
      <c r="G71" s="196" t="s">
        <v>13</v>
      </c>
      <c r="H71" s="197"/>
      <c r="I71" s="198"/>
      <c r="J71" s="214"/>
      <c r="K71" s="214"/>
      <c r="L71" s="214"/>
      <c r="M71" s="214"/>
      <c r="N71" s="214"/>
      <c r="O71" s="100"/>
      <c r="P71" s="101"/>
      <c r="Q71" s="212" t="s">
        <v>10</v>
      </c>
      <c r="R71" s="201"/>
      <c r="S71" s="201"/>
      <c r="T71" s="201"/>
      <c r="U71" s="213"/>
    </row>
    <row r="72" spans="1:21">
      <c r="A72" s="157" t="s">
        <v>16</v>
      </c>
      <c r="B72" s="157" t="s">
        <v>17</v>
      </c>
      <c r="C72" s="157"/>
      <c r="D72" s="106">
        <f>M26</f>
        <v>35</v>
      </c>
      <c r="E72" s="106">
        <f>N26</f>
        <v>45</v>
      </c>
      <c r="F72" s="106">
        <f>D72</f>
        <v>35</v>
      </c>
      <c r="G72" s="106">
        <f>E72</f>
        <v>45</v>
      </c>
      <c r="H72" s="106">
        <f>N26</f>
        <v>45</v>
      </c>
      <c r="I72" s="106"/>
      <c r="J72" s="158"/>
      <c r="K72" s="158"/>
      <c r="L72" s="158"/>
      <c r="M72" s="158"/>
      <c r="N72" s="158"/>
      <c r="O72" s="39"/>
      <c r="P72" s="108"/>
      <c r="Q72" s="48">
        <v>35</v>
      </c>
      <c r="R72" s="48">
        <v>40</v>
      </c>
      <c r="S72" s="48">
        <v>45</v>
      </c>
      <c r="T72" s="48">
        <v>50</v>
      </c>
      <c r="U72" s="48">
        <v>55</v>
      </c>
    </row>
    <row r="73" spans="1:21">
      <c r="A73" s="14">
        <v>4.7878318380820248</v>
      </c>
      <c r="B73" s="14">
        <v>0.3719233795238876</v>
      </c>
      <c r="C73" s="14">
        <v>12.873167167417922</v>
      </c>
      <c r="D73" s="14">
        <v>1.0375708969594932</v>
      </c>
      <c r="E73" s="14"/>
      <c r="F73" s="14"/>
      <c r="G73" s="14">
        <v>0.96692947946846686</v>
      </c>
      <c r="H73" s="14"/>
      <c r="I73" s="14"/>
      <c r="J73" s="159"/>
      <c r="K73" s="159"/>
      <c r="L73" s="159"/>
      <c r="M73" s="159"/>
      <c r="N73" s="159"/>
      <c r="O73" s="119"/>
      <c r="P73" s="117">
        <v>-32</v>
      </c>
      <c r="Q73" s="160">
        <f t="shared" ref="Q73:U80" si="12">Q60/$U$60</f>
        <v>1.8812892944594728</v>
      </c>
      <c r="R73" s="160">
        <f t="shared" si="12"/>
        <v>1.6279423919945135</v>
      </c>
      <c r="S73" s="160">
        <f t="shared" si="12"/>
        <v>1.3980943557191585</v>
      </c>
      <c r="T73" s="160">
        <f t="shared" si="12"/>
        <v>1.1893898849357094</v>
      </c>
      <c r="U73" s="160">
        <f>U60/$U$60</f>
        <v>1</v>
      </c>
    </row>
    <row r="74" spans="1:21">
      <c r="A74" s="14">
        <v>6.2233594418684053</v>
      </c>
      <c r="B74" s="14">
        <v>0.3719233795238876</v>
      </c>
      <c r="C74" s="14">
        <v>16.732907325791537</v>
      </c>
      <c r="D74" s="14"/>
      <c r="E74" s="14">
        <v>0.89352781011363047</v>
      </c>
      <c r="F74" s="14"/>
      <c r="G74" s="14"/>
      <c r="H74" s="14">
        <v>0.88829885218548155</v>
      </c>
      <c r="I74" s="14"/>
      <c r="J74" s="159"/>
      <c r="K74" s="159"/>
      <c r="L74" s="159"/>
      <c r="M74" s="159"/>
      <c r="N74" s="159"/>
      <c r="O74" s="119" t="s">
        <v>6</v>
      </c>
      <c r="P74" s="126">
        <v>-30</v>
      </c>
      <c r="Q74" s="161">
        <f t="shared" si="12"/>
        <v>1.9753575701706596</v>
      </c>
      <c r="R74" s="161">
        <f t="shared" si="12"/>
        <v>1.7007733783172303</v>
      </c>
      <c r="S74" s="161">
        <f t="shared" si="12"/>
        <v>1.4534993592147587</v>
      </c>
      <c r="T74" s="161">
        <f t="shared" si="12"/>
        <v>1.2304639711775833</v>
      </c>
      <c r="U74" s="161">
        <f t="shared" si="12"/>
        <v>1.0292882359783342</v>
      </c>
    </row>
    <row r="75" spans="1:21">
      <c r="A75" s="14">
        <v>7.9479491617924891</v>
      </c>
      <c r="B75" s="14">
        <v>0.3719233795238876</v>
      </c>
      <c r="C75" s="14">
        <v>21.369856264392258</v>
      </c>
      <c r="D75" s="14"/>
      <c r="E75" s="14"/>
      <c r="F75" s="14">
        <v>0.74942239126961796</v>
      </c>
      <c r="G75" s="14"/>
      <c r="H75" s="14"/>
      <c r="I75" s="14">
        <v>0.79383492747533158</v>
      </c>
      <c r="J75" s="159"/>
      <c r="K75" s="159"/>
      <c r="L75" s="159"/>
      <c r="M75" s="159"/>
      <c r="N75" s="159"/>
      <c r="O75" s="119" t="s">
        <v>7</v>
      </c>
      <c r="P75" s="126">
        <v>-28</v>
      </c>
      <c r="Q75" s="161">
        <f t="shared" si="12"/>
        <v>2.078362680331451</v>
      </c>
      <c r="R75" s="161">
        <f t="shared" si="12"/>
        <v>1.7813146900924706</v>
      </c>
      <c r="S75" s="161">
        <f t="shared" si="12"/>
        <v>1.5156091798834008</v>
      </c>
      <c r="T75" s="161">
        <f t="shared" si="12"/>
        <v>1.2773839059940049</v>
      </c>
      <c r="U75" s="161">
        <f t="shared" si="12"/>
        <v>1.0636619622344634</v>
      </c>
    </row>
    <row r="76" spans="1:21">
      <c r="A76" s="14">
        <v>4.7878318380820248</v>
      </c>
      <c r="B76" s="14">
        <v>0.59357850212742569</v>
      </c>
      <c r="C76" s="14">
        <v>8.0660465648976682</v>
      </c>
      <c r="D76" s="14">
        <v>0.9186614176611293</v>
      </c>
      <c r="E76" s="14"/>
      <c r="F76" s="14"/>
      <c r="G76" s="14">
        <v>0.92874520629619339</v>
      </c>
      <c r="H76" s="14"/>
      <c r="I76" s="14"/>
      <c r="J76" s="159"/>
      <c r="K76" s="159"/>
      <c r="L76" s="159"/>
      <c r="M76" s="159"/>
      <c r="N76" s="159"/>
      <c r="O76" s="119" t="s">
        <v>8</v>
      </c>
      <c r="P76" s="126">
        <v>-26</v>
      </c>
      <c r="Q76" s="161">
        <f t="shared" si="12"/>
        <v>2.1904753183660377</v>
      </c>
      <c r="R76" s="161">
        <f t="shared" si="12"/>
        <v>1.8696040313350604</v>
      </c>
      <c r="S76" s="161">
        <f t="shared" si="12"/>
        <v>1.584356765142944</v>
      </c>
      <c r="T76" s="161">
        <f t="shared" si="12"/>
        <v>1.3300016765252787</v>
      </c>
      <c r="U76" s="161">
        <f t="shared" si="12"/>
        <v>1.1029129569582945</v>
      </c>
    </row>
    <row r="77" spans="1:21">
      <c r="A77" s="14">
        <v>6.2233594418684053</v>
      </c>
      <c r="B77" s="14">
        <v>0.59357850212742569</v>
      </c>
      <c r="C77" s="14">
        <v>10.484475801538402</v>
      </c>
      <c r="D77" s="14"/>
      <c r="E77" s="14">
        <v>0.82854763981258739</v>
      </c>
      <c r="F77" s="14"/>
      <c r="G77" s="14"/>
      <c r="H77" s="14">
        <v>0.83866585231956625</v>
      </c>
      <c r="I77" s="14"/>
      <c r="J77" s="159"/>
      <c r="K77" s="159"/>
      <c r="L77" s="159"/>
      <c r="M77" s="159"/>
      <c r="N77" s="159"/>
      <c r="O77" s="119" t="s">
        <v>5</v>
      </c>
      <c r="P77" s="126">
        <v>-24</v>
      </c>
      <c r="Q77" s="161">
        <f t="shared" si="12"/>
        <v>2.3119315089541903</v>
      </c>
      <c r="R77" s="161">
        <f t="shared" si="12"/>
        <v>1.965750141423426</v>
      </c>
      <c r="S77" s="161">
        <f t="shared" si="12"/>
        <v>1.6597521737756078</v>
      </c>
      <c r="T77" s="161">
        <f t="shared" si="12"/>
        <v>1.3882517084500405</v>
      </c>
      <c r="U77" s="161">
        <f t="shared" si="12"/>
        <v>1.146919273700223</v>
      </c>
    </row>
    <row r="78" spans="1:21">
      <c r="A78" s="14">
        <v>7.9479491617924891</v>
      </c>
      <c r="B78" s="14">
        <v>0.59357850212742569</v>
      </c>
      <c r="C78" s="14">
        <v>13.389887156132675</v>
      </c>
      <c r="D78" s="14"/>
      <c r="E78" s="14"/>
      <c r="F78" s="14">
        <v>0.73836564967088925</v>
      </c>
      <c r="G78" s="14"/>
      <c r="H78" s="14"/>
      <c r="I78" s="14">
        <v>0.73044785119180022</v>
      </c>
      <c r="J78" s="159"/>
      <c r="K78" s="159"/>
      <c r="L78" s="159"/>
      <c r="M78" s="159"/>
      <c r="N78" s="159"/>
      <c r="O78" s="128"/>
      <c r="P78" s="126">
        <v>-22</v>
      </c>
      <c r="Q78" s="161">
        <f t="shared" si="12"/>
        <v>2.4430238419110033</v>
      </c>
      <c r="R78" s="161">
        <f t="shared" si="12"/>
        <v>2.0699207399775719</v>
      </c>
      <c r="S78" s="161">
        <f t="shared" si="12"/>
        <v>1.7418674375602161</v>
      </c>
      <c r="T78" s="161">
        <f t="shared" si="12"/>
        <v>1.4521330144743807</v>
      </c>
      <c r="U78" s="161">
        <f t="shared" si="12"/>
        <v>1.1956251923461447</v>
      </c>
    </row>
    <row r="79" spans="1:21">
      <c r="A79" s="14">
        <v>4.7878318380820248</v>
      </c>
      <c r="B79" s="14">
        <v>0.90864948863276984</v>
      </c>
      <c r="C79" s="14">
        <v>5.2691735349856383</v>
      </c>
      <c r="D79" s="14">
        <v>0.85565949856800716</v>
      </c>
      <c r="E79" s="14"/>
      <c r="F79" s="14"/>
      <c r="G79" s="14">
        <v>0.90652887917797331</v>
      </c>
      <c r="H79" s="14"/>
      <c r="I79" s="14"/>
      <c r="J79" s="159"/>
      <c r="K79" s="159"/>
      <c r="L79" s="159"/>
      <c r="M79" s="159"/>
      <c r="N79" s="159"/>
      <c r="O79" s="119" t="s">
        <v>9</v>
      </c>
      <c r="P79" s="126">
        <v>-20</v>
      </c>
      <c r="Q79" s="161">
        <f t="shared" si="12"/>
        <v>2.5840953954003285</v>
      </c>
      <c r="R79" s="161">
        <f t="shared" si="12"/>
        <v>2.1823340272869514</v>
      </c>
      <c r="S79" s="161">
        <f t="shared" si="12"/>
        <v>1.8308258736861269</v>
      </c>
      <c r="T79" s="161">
        <f t="shared" si="12"/>
        <v>1.521696645551327</v>
      </c>
      <c r="U79" s="161">
        <f t="shared" si="12"/>
        <v>1.2490272169027536</v>
      </c>
    </row>
    <row r="80" spans="1:21">
      <c r="A80" s="14">
        <v>6.2233594418684053</v>
      </c>
      <c r="B80" s="14">
        <v>0.90864948863276984</v>
      </c>
      <c r="C80" s="14">
        <v>6.8490210138483576</v>
      </c>
      <c r="D80" s="14"/>
      <c r="E80" s="14">
        <v>0.79692506682361164</v>
      </c>
      <c r="F80" s="14"/>
      <c r="G80" s="14"/>
      <c r="H80" s="14">
        <v>0.809788441038096</v>
      </c>
      <c r="I80" s="14"/>
      <c r="J80" s="159"/>
      <c r="K80" s="159"/>
      <c r="L80" s="159"/>
      <c r="M80" s="159"/>
      <c r="N80" s="159"/>
      <c r="O80" s="102"/>
      <c r="P80" s="137">
        <v>-18</v>
      </c>
      <c r="Q80" s="162">
        <f t="shared" si="12"/>
        <v>2.7355356319522053</v>
      </c>
      <c r="R80" s="162">
        <f t="shared" si="12"/>
        <v>2.3032527215179264</v>
      </c>
      <c r="S80" s="162">
        <f t="shared" si="12"/>
        <v>1.9267945062520322</v>
      </c>
      <c r="T80" s="162">
        <f t="shared" si="12"/>
        <v>1.5970367828310685</v>
      </c>
      <c r="U80" s="162">
        <f t="shared" si="12"/>
        <v>1.3071641639732672</v>
      </c>
    </row>
    <row r="81" spans="1:9">
      <c r="A81" s="14">
        <v>7.9479491617924891</v>
      </c>
      <c r="B81" s="14">
        <v>0.90864948863276984</v>
      </c>
      <c r="C81" s="14">
        <v>8.7469912889640646</v>
      </c>
      <c r="D81" s="14"/>
      <c r="E81" s="14"/>
      <c r="F81" s="14">
        <v>0.73812717826403396</v>
      </c>
      <c r="G81" s="14"/>
      <c r="H81" s="14"/>
      <c r="I81" s="14">
        <v>0.69356805999008997</v>
      </c>
    </row>
    <row r="82" spans="1:9">
      <c r="A82" s="14"/>
      <c r="B82" s="14"/>
      <c r="C82" s="14"/>
      <c r="D82" s="14"/>
      <c r="E82" s="14"/>
      <c r="F82" s="14"/>
      <c r="G82" s="14"/>
      <c r="H82" s="14"/>
      <c r="I82" s="14"/>
    </row>
    <row r="83" spans="1:9">
      <c r="A83" s="14"/>
      <c r="B83" s="14"/>
      <c r="C83" s="14"/>
      <c r="D83" s="14"/>
      <c r="E83" s="14"/>
      <c r="F83" s="14"/>
      <c r="G83" s="14"/>
      <c r="H83" s="14"/>
      <c r="I83" s="14"/>
    </row>
    <row r="84" spans="1:9">
      <c r="A84" s="14"/>
      <c r="B84" s="14"/>
      <c r="C84" s="14"/>
      <c r="D84" s="14"/>
      <c r="E84" s="14"/>
      <c r="F84" s="14"/>
      <c r="G84" s="14"/>
      <c r="H84" s="14"/>
      <c r="I84" s="14"/>
    </row>
    <row r="85" spans="1:9">
      <c r="A85" s="14"/>
      <c r="B85" s="14"/>
      <c r="C85" s="14"/>
      <c r="D85" s="14"/>
      <c r="E85" s="14"/>
      <c r="F85" s="14"/>
      <c r="G85" s="14"/>
      <c r="H85" s="14"/>
      <c r="I85" s="14"/>
    </row>
    <row r="86" spans="1:9">
      <c r="A86" s="14"/>
      <c r="B86" s="14"/>
      <c r="C86" s="14"/>
      <c r="D86" s="14"/>
      <c r="E86" s="14"/>
      <c r="F86" s="14"/>
      <c r="G86" s="14"/>
      <c r="H86" s="14"/>
      <c r="I86" s="14"/>
    </row>
    <row r="87" spans="1:9">
      <c r="A87" s="14"/>
      <c r="B87" s="14"/>
      <c r="C87" s="14"/>
      <c r="D87" s="14"/>
      <c r="E87" s="14"/>
      <c r="F87" s="14"/>
      <c r="G87" s="14"/>
      <c r="H87" s="14"/>
      <c r="I87" s="14"/>
    </row>
    <row r="88" spans="1:9">
      <c r="A88" s="1">
        <v>4.7878318380820248</v>
      </c>
      <c r="B88" s="1">
        <v>1.1086403483853422</v>
      </c>
      <c r="C88" s="1">
        <v>4.3186519821826526</v>
      </c>
      <c r="D88" s="1">
        <v>0.87548918516073793</v>
      </c>
      <c r="G88" s="1">
        <v>0.86845515962791453</v>
      </c>
    </row>
    <row r="89" spans="1:9">
      <c r="A89" s="1">
        <v>6.2233594418684053</v>
      </c>
      <c r="B89" s="1">
        <v>1.1086403483853422</v>
      </c>
      <c r="C89" s="1">
        <v>5.6135061753185305</v>
      </c>
      <c r="D89" s="159"/>
      <c r="E89" s="159">
        <v>0.79285372664203291</v>
      </c>
      <c r="F89" s="159"/>
      <c r="G89" s="159"/>
      <c r="H89" s="159">
        <v>0.79692236588216037</v>
      </c>
      <c r="I89" s="159"/>
    </row>
    <row r="90" spans="1:9" hidden="1">
      <c r="A90" s="1">
        <v>7.9479491617924891</v>
      </c>
      <c r="B90" s="1">
        <v>1.1086403483853422</v>
      </c>
      <c r="C90" s="1">
        <v>7.1690960674199946</v>
      </c>
      <c r="D90" s="159"/>
      <c r="E90" s="159"/>
      <c r="F90" s="159">
        <v>0.70798487686147449</v>
      </c>
      <c r="G90" s="159"/>
      <c r="H90" s="159"/>
      <c r="I90" s="159">
        <v>0.71098551562167944</v>
      </c>
    </row>
    <row r="91" spans="1:9" hidden="1">
      <c r="D91" s="159"/>
      <c r="E91" s="159"/>
      <c r="F91" s="159"/>
      <c r="G91" s="159"/>
      <c r="H91" s="159"/>
      <c r="I91" s="159"/>
    </row>
    <row r="92" spans="1:9" hidden="1">
      <c r="D92" s="159"/>
      <c r="E92" s="159"/>
      <c r="F92" s="159"/>
      <c r="G92" s="159"/>
      <c r="H92" s="159"/>
      <c r="I92" s="159"/>
    </row>
    <row r="93" spans="1:9" hidden="1">
      <c r="D93" s="159"/>
      <c r="E93" s="159"/>
      <c r="F93" s="159"/>
      <c r="G93" s="159"/>
      <c r="H93" s="159"/>
      <c r="I93" s="159"/>
    </row>
    <row r="94" spans="1:9" hidden="1">
      <c r="D94" s="159"/>
      <c r="E94" s="159"/>
      <c r="F94" s="159"/>
      <c r="G94" s="159"/>
      <c r="H94" s="159"/>
      <c r="I94" s="159"/>
    </row>
    <row r="95" spans="1:9" hidden="1">
      <c r="D95" s="159"/>
      <c r="E95" s="159"/>
      <c r="F95" s="159"/>
      <c r="G95" s="159"/>
      <c r="H95" s="159"/>
      <c r="I95" s="159"/>
    </row>
    <row r="96" spans="1:9" hidden="1">
      <c r="D96" s="159"/>
      <c r="E96" s="159"/>
      <c r="F96" s="159"/>
      <c r="G96" s="159"/>
      <c r="H96" s="159"/>
      <c r="I96" s="159"/>
    </row>
    <row r="97" spans="2:17" hidden="1">
      <c r="D97" s="159"/>
      <c r="E97" s="159"/>
      <c r="F97" s="159"/>
      <c r="G97" s="159"/>
      <c r="H97" s="159"/>
      <c r="I97" s="159"/>
    </row>
    <row r="98" spans="2:17" hidden="1">
      <c r="D98" s="159"/>
      <c r="E98" s="159"/>
      <c r="F98" s="159"/>
      <c r="G98" s="159"/>
      <c r="H98" s="159"/>
      <c r="I98" s="159"/>
    </row>
    <row r="99" spans="2:17" hidden="1"/>
    <row r="100" spans="2:17" hidden="1"/>
    <row r="102" spans="2:17" ht="15" thickBot="1">
      <c r="D102" s="1" t="s">
        <v>38</v>
      </c>
      <c r="L102" s="1" t="s">
        <v>37</v>
      </c>
    </row>
    <row r="103" spans="2:17" ht="15" thickBot="1">
      <c r="B103" s="163"/>
      <c r="C103" s="204" t="s">
        <v>20</v>
      </c>
      <c r="D103" s="205"/>
      <c r="E103" s="206"/>
      <c r="F103" s="204" t="s">
        <v>39</v>
      </c>
      <c r="G103" s="205"/>
      <c r="H103" s="206"/>
      <c r="K103" s="163"/>
      <c r="L103" s="204" t="s">
        <v>20</v>
      </c>
      <c r="M103" s="205"/>
      <c r="N103" s="206"/>
      <c r="O103" s="204" t="s">
        <v>39</v>
      </c>
      <c r="P103" s="205"/>
      <c r="Q103" s="206"/>
    </row>
    <row r="104" spans="2:17" ht="15" thickBot="1">
      <c r="B104" s="164"/>
      <c r="C104" s="165">
        <v>35</v>
      </c>
      <c r="D104" s="166">
        <v>45</v>
      </c>
      <c r="E104" s="167">
        <v>55</v>
      </c>
      <c r="F104" s="168">
        <v>35</v>
      </c>
      <c r="G104" s="168">
        <v>45</v>
      </c>
      <c r="H104" s="169">
        <v>55</v>
      </c>
      <c r="K104" s="164"/>
      <c r="L104" s="168">
        <v>40.5</v>
      </c>
      <c r="M104" s="168">
        <v>54.4</v>
      </c>
      <c r="N104" s="169">
        <v>65</v>
      </c>
      <c r="O104" s="165">
        <v>40.5</v>
      </c>
      <c r="P104" s="166">
        <v>54.4</v>
      </c>
      <c r="Q104" s="167">
        <v>65</v>
      </c>
    </row>
    <row r="105" spans="2:17">
      <c r="B105" s="170">
        <v>-35</v>
      </c>
      <c r="C105" s="171">
        <f t="shared" ref="C105:E109" si="13">IF(C27="","",C27)</f>
        <v>57.761254140696046</v>
      </c>
      <c r="D105" s="172">
        <f t="shared" si="13"/>
        <v>53.064113612690264</v>
      </c>
      <c r="E105" s="173">
        <f t="shared" si="13"/>
        <v>47.421142870594402</v>
      </c>
      <c r="F105" s="174">
        <f>IF(C14="","",C14)</f>
        <v>61.981144996439937</v>
      </c>
      <c r="G105" s="175">
        <f t="shared" ref="G105:H109" si="14">IF(D14="","",D14)</f>
        <v>53.376474725048595</v>
      </c>
      <c r="H105" s="176">
        <f t="shared" si="14"/>
        <v>44.768080940761337</v>
      </c>
      <c r="K105" s="170">
        <v>-30</v>
      </c>
      <c r="L105" s="174">
        <f t="shared" ref="L105:N109" si="15">IF(H27="","",H27)</f>
        <v>28.551873320392598</v>
      </c>
      <c r="M105" s="175">
        <f t="shared" si="15"/>
        <v>31.149331223264344</v>
      </c>
      <c r="N105" s="176">
        <f t="shared" si="15"/>
        <v>33.746789126136107</v>
      </c>
      <c r="O105" s="171">
        <f>IF(H14="","",H14)</f>
        <v>28.399470188982054</v>
      </c>
      <c r="P105" s="172">
        <f t="shared" ref="P105:Q109" si="16">IF(I14="","",I14)</f>
        <v>31.236331176704478</v>
      </c>
      <c r="Q105" s="173">
        <f t="shared" si="16"/>
        <v>33.812192304106354</v>
      </c>
    </row>
    <row r="106" spans="2:17">
      <c r="B106" s="177">
        <v>-25</v>
      </c>
      <c r="C106" s="178">
        <f t="shared" si="13"/>
        <v>88.731459878673618</v>
      </c>
      <c r="D106" s="179">
        <f t="shared" si="13"/>
        <v>80.125361533198159</v>
      </c>
      <c r="E106" s="180">
        <f t="shared" si="13"/>
        <v>69.786313578902423</v>
      </c>
      <c r="F106" s="181">
        <f t="shared" ref="F106:F109" si="17">IF(C15="","",C15)</f>
        <v>87.768064018720324</v>
      </c>
      <c r="G106" s="182">
        <f t="shared" si="14"/>
        <v>79.15867684829162</v>
      </c>
      <c r="H106" s="183">
        <f t="shared" si="14"/>
        <v>70.542772738327301</v>
      </c>
      <c r="K106" s="177">
        <v>-20</v>
      </c>
      <c r="L106" s="181">
        <f t="shared" si="15"/>
        <v>36.145173468812693</v>
      </c>
      <c r="M106" s="182">
        <f t="shared" si="15"/>
        <v>40.897274406220816</v>
      </c>
      <c r="N106" s="183">
        <f t="shared" si="15"/>
        <v>45.649375343628947</v>
      </c>
      <c r="O106" s="178">
        <f t="shared" ref="O106:O109" si="18">IF(H15="","",H15)</f>
        <v>36.29018938443533</v>
      </c>
      <c r="P106" s="179">
        <f t="shared" si="16"/>
        <v>41.0428551937379</v>
      </c>
      <c r="Q106" s="180">
        <f t="shared" si="16"/>
        <v>45.358778640489753</v>
      </c>
    </row>
    <row r="107" spans="2:17">
      <c r="B107" s="177">
        <v>-15</v>
      </c>
      <c r="C107" s="178">
        <f t="shared" si="13"/>
        <v>133.00566360567933</v>
      </c>
      <c r="D107" s="179">
        <f t="shared" si="13"/>
        <v>118.81193357915642</v>
      </c>
      <c r="E107" s="180">
        <f t="shared" si="13"/>
        <v>101.76011177750351</v>
      </c>
      <c r="F107" s="181">
        <f t="shared" si="17"/>
        <v>125.54212231025623</v>
      </c>
      <c r="G107" s="182">
        <f t="shared" si="14"/>
        <v>116.92462291216799</v>
      </c>
      <c r="H107" s="183">
        <f t="shared" si="14"/>
        <v>108.29781314790446</v>
      </c>
      <c r="K107" s="177">
        <v>-15</v>
      </c>
      <c r="L107" s="181">
        <f t="shared" si="15"/>
        <v>43.093330434533101</v>
      </c>
      <c r="M107" s="182">
        <f t="shared" si="15"/>
        <v>50.000074406477601</v>
      </c>
      <c r="N107" s="183">
        <f t="shared" si="15"/>
        <v>56.906818378422095</v>
      </c>
      <c r="O107" s="178">
        <f t="shared" si="18"/>
        <v>42.882346469045537</v>
      </c>
      <c r="P107" s="179">
        <f t="shared" si="16"/>
        <v>50.204236028071115</v>
      </c>
      <c r="Q107" s="180">
        <f t="shared" si="16"/>
        <v>56.913640722315776</v>
      </c>
    </row>
    <row r="108" spans="2:17">
      <c r="B108" s="177">
        <v>-20</v>
      </c>
      <c r="C108" s="178" t="str">
        <f t="shared" si="13"/>
        <v/>
      </c>
      <c r="D108" s="179" t="str">
        <f t="shared" si="13"/>
        <v/>
      </c>
      <c r="E108" s="180" t="str">
        <f t="shared" si="13"/>
        <v/>
      </c>
      <c r="F108" s="181" t="str">
        <f t="shared" si="17"/>
        <v/>
      </c>
      <c r="G108" s="182" t="str">
        <f t="shared" si="14"/>
        <v/>
      </c>
      <c r="H108" s="183" t="str">
        <f t="shared" si="14"/>
        <v/>
      </c>
      <c r="K108" s="177">
        <v>-10</v>
      </c>
      <c r="L108" s="181" t="str">
        <f t="shared" si="15"/>
        <v/>
      </c>
      <c r="M108" s="182" t="str">
        <f t="shared" si="15"/>
        <v/>
      </c>
      <c r="N108" s="183" t="str">
        <f t="shared" si="15"/>
        <v/>
      </c>
      <c r="O108" s="178" t="str">
        <f t="shared" si="18"/>
        <v/>
      </c>
      <c r="P108" s="179" t="str">
        <f t="shared" si="16"/>
        <v/>
      </c>
      <c r="Q108" s="180" t="str">
        <f t="shared" si="16"/>
        <v/>
      </c>
    </row>
    <row r="109" spans="2:17" ht="15" thickBot="1">
      <c r="B109" s="184">
        <v>-15</v>
      </c>
      <c r="C109" s="185" t="str">
        <f t="shared" si="13"/>
        <v/>
      </c>
      <c r="D109" s="186" t="str">
        <f t="shared" si="13"/>
        <v/>
      </c>
      <c r="E109" s="187" t="str">
        <f t="shared" si="13"/>
        <v/>
      </c>
      <c r="F109" s="188" t="str">
        <f t="shared" si="17"/>
        <v/>
      </c>
      <c r="G109" s="189" t="str">
        <f t="shared" si="14"/>
        <v/>
      </c>
      <c r="H109" s="190" t="str">
        <f t="shared" si="14"/>
        <v/>
      </c>
      <c r="K109" s="184"/>
      <c r="L109" s="188" t="str">
        <f t="shared" si="15"/>
        <v/>
      </c>
      <c r="M109" s="189" t="str">
        <f t="shared" si="15"/>
        <v/>
      </c>
      <c r="N109" s="190" t="str">
        <f t="shared" si="15"/>
        <v/>
      </c>
      <c r="O109" s="185" t="str">
        <f t="shared" si="18"/>
        <v/>
      </c>
      <c r="P109" s="186" t="str">
        <f t="shared" si="16"/>
        <v/>
      </c>
      <c r="Q109" s="187" t="str">
        <f t="shared" si="16"/>
        <v/>
      </c>
    </row>
    <row r="110" spans="2:17">
      <c r="B110" s="154">
        <v>-10</v>
      </c>
      <c r="C110" s="45"/>
      <c r="D110" s="45"/>
      <c r="E110" s="45"/>
    </row>
  </sheetData>
  <mergeCells count="47">
    <mergeCell ref="C103:E103"/>
    <mergeCell ref="F103:H103"/>
    <mergeCell ref="L103:N103"/>
    <mergeCell ref="O103:Q103"/>
    <mergeCell ref="D70:F70"/>
    <mergeCell ref="G70:I70"/>
    <mergeCell ref="J70:N70"/>
    <mergeCell ref="Q70:U70"/>
    <mergeCell ref="D71:F71"/>
    <mergeCell ref="G71:I71"/>
    <mergeCell ref="J71:N71"/>
    <mergeCell ref="Q71:U71"/>
    <mergeCell ref="C57:G57"/>
    <mergeCell ref="J57:N57"/>
    <mergeCell ref="Q57:U57"/>
    <mergeCell ref="C58:G58"/>
    <mergeCell ref="J58:N58"/>
    <mergeCell ref="Q58:U58"/>
    <mergeCell ref="C40:G40"/>
    <mergeCell ref="I40:N40"/>
    <mergeCell ref="Q40:U40"/>
    <mergeCell ref="C41:G41"/>
    <mergeCell ref="I41:M41"/>
    <mergeCell ref="Q41:U41"/>
    <mergeCell ref="A24:E24"/>
    <mergeCell ref="F24:J24"/>
    <mergeCell ref="K24:O24"/>
    <mergeCell ref="Q24:U24"/>
    <mergeCell ref="A27:A32"/>
    <mergeCell ref="F27:F32"/>
    <mergeCell ref="K27:K32"/>
    <mergeCell ref="Q27:Q32"/>
    <mergeCell ref="R8:S8"/>
    <mergeCell ref="A11:E11"/>
    <mergeCell ref="F11:J11"/>
    <mergeCell ref="K11:O11"/>
    <mergeCell ref="Q11:U11"/>
    <mergeCell ref="A14:A19"/>
    <mergeCell ref="F14:F19"/>
    <mergeCell ref="K14:K19"/>
    <mergeCell ref="Q14:Q19"/>
    <mergeCell ref="D3:E3"/>
    <mergeCell ref="B4:C4"/>
    <mergeCell ref="R4:S4"/>
    <mergeCell ref="R5:S5"/>
    <mergeCell ref="R6:S6"/>
    <mergeCell ref="R7:S7"/>
  </mergeCells>
  <printOptions gridLinesSet="0"/>
  <pageMargins left="0.47" right="0.28000000000000003" top="0.69" bottom="0.42" header="0.38" footer="0.21"/>
  <pageSetup paperSize="9" scale="72" orientation="landscape" horizontalDpi="4294967292" r:id="rId1"/>
  <headerFooter alignWithMargins="0">
    <oddFooter>&amp;C- &amp;P / &amp;N -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Line="0" autoPict="0" macro="[0]!Record2">
                <anchor moveWithCells="1" sizeWithCells="1">
                  <from>
                    <xdr:col>5</xdr:col>
                    <xdr:colOff>91440</xdr:colOff>
                    <xdr:row>7</xdr:row>
                    <xdr:rowOff>45720</xdr:rowOff>
                  </from>
                  <to>
                    <xdr:col>6</xdr:col>
                    <xdr:colOff>579120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10"/>
  <sheetViews>
    <sheetView showGridLines="0" topLeftCell="A7" zoomScaleNormal="100" workbookViewId="0">
      <selection activeCell="M8" sqref="M8"/>
    </sheetView>
    <sheetView workbookViewId="1"/>
  </sheetViews>
  <sheetFormatPr defaultRowHeight="14.4"/>
  <cols>
    <col min="1" max="1" width="10.44140625" style="1" customWidth="1"/>
    <col min="2" max="2" width="9.6640625" style="1" customWidth="1"/>
    <col min="3" max="3" width="14.44140625" style="1" bestFit="1" customWidth="1"/>
    <col min="4" max="4" width="9.109375" style="1" bestFit="1" customWidth="1"/>
    <col min="5" max="5" width="13" style="1" bestFit="1" customWidth="1"/>
    <col min="6" max="6" width="9.21875" style="1" customWidth="1"/>
    <col min="7" max="7" width="9.88671875" style="1" customWidth="1"/>
    <col min="8" max="8" width="9.6640625" style="1" customWidth="1"/>
    <col min="9" max="9" width="9.109375" style="1" bestFit="1" customWidth="1"/>
    <col min="10" max="10" width="9.6640625" style="1" bestFit="1" customWidth="1"/>
    <col min="11" max="11" width="8" style="1" customWidth="1"/>
    <col min="12" max="14" width="9.109375" style="1" bestFit="1" customWidth="1"/>
    <col min="15" max="15" width="13.109375" style="1" customWidth="1"/>
    <col min="16" max="16" width="9" style="1" customWidth="1"/>
    <col min="17" max="17" width="9.77734375" style="1" customWidth="1"/>
    <col min="18" max="18" width="8.44140625" style="1" customWidth="1"/>
    <col min="19" max="20" width="9.109375" style="1" bestFit="1" customWidth="1"/>
    <col min="21" max="16384" width="8.88671875" style="1"/>
  </cols>
  <sheetData>
    <row r="1" spans="1:21">
      <c r="B1" s="2" t="s">
        <v>61</v>
      </c>
      <c r="C1" s="3"/>
      <c r="D1" s="3"/>
      <c r="E1" s="3"/>
      <c r="F1" s="4"/>
    </row>
    <row r="2" spans="1:21">
      <c r="N2" s="1" t="s">
        <v>73</v>
      </c>
      <c r="Q2" s="1" t="s">
        <v>74</v>
      </c>
    </row>
    <row r="3" spans="1:21">
      <c r="B3" s="5" t="s">
        <v>62</v>
      </c>
      <c r="C3" s="6"/>
      <c r="D3" s="208" t="s">
        <v>26</v>
      </c>
      <c r="E3" s="209"/>
      <c r="F3" s="7">
        <v>2</v>
      </c>
      <c r="G3" s="1" t="s">
        <v>57</v>
      </c>
      <c r="H3" s="8"/>
      <c r="I3" s="9"/>
      <c r="K3" s="10" t="s">
        <v>64</v>
      </c>
      <c r="N3" s="1" t="s">
        <v>35</v>
      </c>
      <c r="Q3" s="1" t="s">
        <v>36</v>
      </c>
    </row>
    <row r="4" spans="1:21">
      <c r="B4" s="199" t="s">
        <v>43</v>
      </c>
      <c r="C4" s="200"/>
      <c r="D4" s="11">
        <v>9</v>
      </c>
      <c r="E4" s="12" t="s">
        <v>1</v>
      </c>
      <c r="G4" s="8" t="s">
        <v>49</v>
      </c>
      <c r="H4" s="8"/>
      <c r="N4" s="13" t="s">
        <v>27</v>
      </c>
      <c r="O4" s="14">
        <f>B21</f>
        <v>1.3330776041252375</v>
      </c>
      <c r="Q4" s="15" t="s">
        <v>30</v>
      </c>
      <c r="R4" s="210">
        <f>B22</f>
        <v>13.607549055446825</v>
      </c>
      <c r="S4" s="210"/>
    </row>
    <row r="5" spans="1:21">
      <c r="B5" s="16" t="s">
        <v>44</v>
      </c>
      <c r="C5" s="17"/>
      <c r="D5" s="11">
        <v>1320</v>
      </c>
      <c r="E5" s="12" t="s">
        <v>3</v>
      </c>
      <c r="G5" s="5" t="s">
        <v>48</v>
      </c>
      <c r="H5" s="6"/>
      <c r="I5" s="18">
        <v>60.557939283853152</v>
      </c>
      <c r="J5" s="19" t="s">
        <v>0</v>
      </c>
      <c r="K5" s="20">
        <f>I5/0.86</f>
        <v>70.416208469596683</v>
      </c>
      <c r="L5" s="21" t="s">
        <v>19</v>
      </c>
      <c r="N5" s="13" t="s">
        <v>28</v>
      </c>
      <c r="O5" s="22">
        <f>C21</f>
        <v>9.3661805150682901E-3</v>
      </c>
      <c r="Q5" s="15" t="s">
        <v>31</v>
      </c>
      <c r="R5" s="215">
        <f>C22</f>
        <v>-0.15236332750582937</v>
      </c>
      <c r="S5" s="216"/>
    </row>
    <row r="6" spans="1:21">
      <c r="B6" s="23" t="s">
        <v>45</v>
      </c>
      <c r="C6" s="17"/>
      <c r="D6" s="11">
        <v>3</v>
      </c>
      <c r="E6" s="12" t="s">
        <v>58</v>
      </c>
      <c r="G6" s="24" t="s">
        <v>50</v>
      </c>
      <c r="H6" s="25"/>
      <c r="I6" s="26">
        <v>38.266424167458936</v>
      </c>
      <c r="J6" s="21" t="s">
        <v>2</v>
      </c>
      <c r="N6" s="13" t="s">
        <v>29</v>
      </c>
      <c r="O6" s="27">
        <f>E21</f>
        <v>-9.2717508984207636E-2</v>
      </c>
      <c r="Q6" s="15" t="s">
        <v>32</v>
      </c>
      <c r="R6" s="217">
        <f>E22</f>
        <v>0.82021012776398305</v>
      </c>
      <c r="S6" s="218"/>
    </row>
    <row r="7" spans="1:21">
      <c r="B7" s="23" t="s">
        <v>46</v>
      </c>
      <c r="C7" s="17"/>
      <c r="D7" s="11">
        <v>3</v>
      </c>
      <c r="E7" s="12" t="s">
        <v>58</v>
      </c>
      <c r="G7" s="5" t="s">
        <v>4</v>
      </c>
      <c r="H7" s="6"/>
      <c r="I7" s="28">
        <f>I5/I6/0.86</f>
        <v>1.8401564818663494</v>
      </c>
      <c r="J7" s="21"/>
      <c r="Q7" s="15" t="s">
        <v>34</v>
      </c>
      <c r="R7" s="219">
        <f>G22</f>
        <v>1.7430820054676634E-2</v>
      </c>
      <c r="S7" s="220"/>
    </row>
    <row r="8" spans="1:21">
      <c r="B8" s="29" t="s">
        <v>47</v>
      </c>
      <c r="C8" s="25"/>
      <c r="D8" s="30">
        <v>9</v>
      </c>
      <c r="E8" s="12" t="s">
        <v>58</v>
      </c>
      <c r="Q8" s="15" t="s">
        <v>33</v>
      </c>
      <c r="R8" s="221">
        <f>I22</f>
        <v>-2.6095679300238771E-3</v>
      </c>
      <c r="S8" s="222"/>
    </row>
    <row r="9" spans="1:21">
      <c r="B9" s="31"/>
      <c r="C9" s="21"/>
      <c r="D9" s="30" t="s">
        <v>21</v>
      </c>
      <c r="E9" s="15"/>
      <c r="H9" s="1" t="s">
        <v>63</v>
      </c>
    </row>
    <row r="10" spans="1:21">
      <c r="Q10" s="4"/>
    </row>
    <row r="11" spans="1:21" ht="15.75" customHeight="1">
      <c r="A11" s="196" t="s">
        <v>78</v>
      </c>
      <c r="B11" s="197"/>
      <c r="C11" s="197"/>
      <c r="D11" s="197"/>
      <c r="E11" s="197"/>
      <c r="F11" s="211" t="s">
        <v>76</v>
      </c>
      <c r="G11" s="197"/>
      <c r="H11" s="197"/>
      <c r="I11" s="197"/>
      <c r="J11" s="198"/>
      <c r="K11" s="211" t="s">
        <v>51</v>
      </c>
      <c r="L11" s="197"/>
      <c r="M11" s="197"/>
      <c r="N11" s="197"/>
      <c r="O11" s="198"/>
      <c r="Q11" s="196" t="s">
        <v>59</v>
      </c>
      <c r="R11" s="197"/>
      <c r="S11" s="197"/>
      <c r="T11" s="197"/>
      <c r="U11" s="198"/>
    </row>
    <row r="12" spans="1:21">
      <c r="A12" s="32"/>
      <c r="B12" s="33"/>
      <c r="C12" s="34" t="s">
        <v>75</v>
      </c>
      <c r="D12" s="34"/>
      <c r="E12" s="34"/>
      <c r="F12" s="35"/>
      <c r="G12" s="33"/>
      <c r="H12" s="5" t="s">
        <v>53</v>
      </c>
      <c r="I12" s="34"/>
      <c r="J12" s="6"/>
      <c r="K12" s="35"/>
      <c r="L12" s="33"/>
      <c r="M12" s="5" t="s">
        <v>53</v>
      </c>
      <c r="N12" s="34"/>
      <c r="O12" s="6"/>
      <c r="P12" s="36"/>
      <c r="Q12" s="37"/>
      <c r="R12" s="38"/>
      <c r="S12" s="5" t="s">
        <v>55</v>
      </c>
      <c r="T12" s="34"/>
      <c r="U12" s="6"/>
    </row>
    <row r="13" spans="1:21" ht="15.6">
      <c r="A13" s="39"/>
      <c r="B13" s="40"/>
      <c r="C13" s="41">
        <v>35</v>
      </c>
      <c r="D13" s="41">
        <v>45</v>
      </c>
      <c r="E13" s="41">
        <v>55</v>
      </c>
      <c r="F13" s="42"/>
      <c r="G13" s="40"/>
      <c r="H13" s="43">
        <f>C13</f>
        <v>35</v>
      </c>
      <c r="I13" s="43">
        <f>D13</f>
        <v>45</v>
      </c>
      <c r="J13" s="44">
        <f>E13</f>
        <v>55</v>
      </c>
      <c r="K13" s="42"/>
      <c r="L13" s="40"/>
      <c r="M13" s="43">
        <v>35</v>
      </c>
      <c r="N13" s="43">
        <v>45</v>
      </c>
      <c r="O13" s="43">
        <v>55</v>
      </c>
      <c r="P13" s="45"/>
      <c r="Q13" s="46"/>
      <c r="R13" s="47"/>
      <c r="S13" s="48">
        <f>IF(C13="","",C13)</f>
        <v>35</v>
      </c>
      <c r="T13" s="48">
        <f t="shared" ref="T13:U13" si="0">IF(D13="","",D13)</f>
        <v>45</v>
      </c>
      <c r="U13" s="48">
        <f t="shared" si="0"/>
        <v>55</v>
      </c>
    </row>
    <row r="14" spans="1:21" ht="15.6">
      <c r="A14" s="193" t="s">
        <v>56</v>
      </c>
      <c r="B14" s="49">
        <v>-35</v>
      </c>
      <c r="C14" s="191">
        <v>53.328881345434553</v>
      </c>
      <c r="D14" s="191">
        <v>44.725103148353924</v>
      </c>
      <c r="E14" s="191">
        <v>36.118312671177719</v>
      </c>
      <c r="F14" s="193" t="s">
        <v>77</v>
      </c>
      <c r="G14" s="51">
        <f>IF(B14="","",B14)</f>
        <v>-35</v>
      </c>
      <c r="H14" s="192">
        <v>22.974852287715816</v>
      </c>
      <c r="I14" s="192">
        <v>25.269840951940697</v>
      </c>
      <c r="J14" s="192">
        <v>27.353683661748953</v>
      </c>
      <c r="K14" s="193" t="s">
        <v>56</v>
      </c>
      <c r="L14" s="51">
        <v>-35</v>
      </c>
      <c r="M14" s="53">
        <v>1.0956245219078622</v>
      </c>
      <c r="N14" s="53">
        <v>0.91886269724632264</v>
      </c>
      <c r="O14" s="53">
        <v>0.74203898626997011</v>
      </c>
      <c r="P14" s="45"/>
      <c r="Q14" s="193" t="s">
        <v>56</v>
      </c>
      <c r="R14" s="54">
        <f>IF(B14="","",B14)</f>
        <v>-35</v>
      </c>
      <c r="S14" s="55">
        <f>IF(C14="","",C14/H14)</f>
        <v>2.3211849494217822</v>
      </c>
      <c r="T14" s="55">
        <f t="shared" ref="T14:U19" si="1">IF(D14="","",D14/I14)</f>
        <v>1.7699004609255002</v>
      </c>
      <c r="U14" s="55">
        <f t="shared" si="1"/>
        <v>1.3204185994767905</v>
      </c>
    </row>
    <row r="15" spans="1:21" ht="15.6">
      <c r="A15" s="194"/>
      <c r="B15" s="49">
        <v>-25</v>
      </c>
      <c r="C15" s="191">
        <v>74.190209093796227</v>
      </c>
      <c r="D15" s="191">
        <v>65.582614978393224</v>
      </c>
      <c r="E15" s="191">
        <v>56.969748732129958</v>
      </c>
      <c r="F15" s="194"/>
      <c r="G15" s="51">
        <f t="shared" ref="G15:G19" si="2">IF(B15="","",B15)</f>
        <v>-25</v>
      </c>
      <c r="H15" s="192">
        <v>29.358355457071273</v>
      </c>
      <c r="I15" s="192">
        <v>33.203208696057622</v>
      </c>
      <c r="J15" s="192">
        <v>36.694742270957995</v>
      </c>
      <c r="K15" s="194"/>
      <c r="L15" s="51">
        <v>-25</v>
      </c>
      <c r="M15" s="56">
        <v>0.95303014229325811</v>
      </c>
      <c r="N15" s="56">
        <v>0.84245899355537046</v>
      </c>
      <c r="O15" s="56">
        <v>0.73182012025267396</v>
      </c>
      <c r="P15" s="45"/>
      <c r="Q15" s="194"/>
      <c r="R15" s="54">
        <f t="shared" ref="R15:R19" si="3">IF(B15="","",B15)</f>
        <v>-25</v>
      </c>
      <c r="S15" s="55">
        <f t="shared" ref="S15:S19" si="4">IF(C15="","",C15/H15)</f>
        <v>2.5270560267682405</v>
      </c>
      <c r="T15" s="55">
        <f t="shared" si="1"/>
        <v>1.9751890721989216</v>
      </c>
      <c r="U15" s="55">
        <f t="shared" si="1"/>
        <v>1.5525316491245285</v>
      </c>
    </row>
    <row r="16" spans="1:21" ht="15.6">
      <c r="A16" s="194"/>
      <c r="B16" s="49">
        <v>-15</v>
      </c>
      <c r="C16" s="191">
        <v>104.74899782402751</v>
      </c>
      <c r="D16" s="191">
        <v>96.134841007596592</v>
      </c>
      <c r="E16" s="191">
        <v>87.513152209540692</v>
      </c>
      <c r="F16" s="194"/>
      <c r="G16" s="51">
        <f t="shared" si="2"/>
        <v>-15</v>
      </c>
      <c r="H16" s="192">
        <v>34.6913364693402</v>
      </c>
      <c r="I16" s="192">
        <v>40.614662854169886</v>
      </c>
      <c r="J16" s="192">
        <v>46.042495865244213</v>
      </c>
      <c r="K16" s="194"/>
      <c r="L16" s="51">
        <v>-15</v>
      </c>
      <c r="M16" s="56">
        <v>0.87619842763603994</v>
      </c>
      <c r="N16" s="56">
        <v>0.80414322124020599</v>
      </c>
      <c r="O16" s="56">
        <v>0.73202501175514101</v>
      </c>
      <c r="P16" s="45"/>
      <c r="Q16" s="194"/>
      <c r="R16" s="54">
        <f t="shared" si="3"/>
        <v>-15</v>
      </c>
      <c r="S16" s="55">
        <f t="shared" si="4"/>
        <v>3.0194569735473715</v>
      </c>
      <c r="T16" s="55">
        <f t="shared" si="1"/>
        <v>2.3669983757535111</v>
      </c>
      <c r="U16" s="55">
        <f t="shared" si="1"/>
        <v>1.9007039163487476</v>
      </c>
    </row>
    <row r="17" spans="1:21" ht="15.6">
      <c r="A17" s="194"/>
      <c r="B17" s="49"/>
      <c r="C17" s="50"/>
      <c r="D17" s="50"/>
      <c r="E17" s="50"/>
      <c r="F17" s="194"/>
      <c r="G17" s="51" t="str">
        <f t="shared" si="2"/>
        <v/>
      </c>
      <c r="H17" s="52"/>
      <c r="I17" s="52"/>
      <c r="J17" s="52"/>
      <c r="K17" s="194"/>
      <c r="L17" s="51"/>
      <c r="M17" s="56"/>
      <c r="N17" s="56"/>
      <c r="O17" s="56"/>
      <c r="P17" s="45"/>
      <c r="Q17" s="194"/>
      <c r="R17" s="54" t="str">
        <f t="shared" si="3"/>
        <v/>
      </c>
      <c r="S17" s="55" t="str">
        <f t="shared" si="4"/>
        <v/>
      </c>
      <c r="T17" s="55" t="str">
        <f t="shared" si="1"/>
        <v/>
      </c>
      <c r="U17" s="55" t="str">
        <f t="shared" si="1"/>
        <v/>
      </c>
    </row>
    <row r="18" spans="1:21" ht="15.6">
      <c r="A18" s="194"/>
      <c r="B18" s="49"/>
      <c r="C18" s="57"/>
      <c r="D18" s="57"/>
      <c r="E18" s="57"/>
      <c r="F18" s="194"/>
      <c r="G18" s="51" t="str">
        <f t="shared" si="2"/>
        <v/>
      </c>
      <c r="H18" s="58"/>
      <c r="I18" s="58"/>
      <c r="J18" s="58"/>
      <c r="K18" s="194"/>
      <c r="L18" s="51"/>
      <c r="M18" s="56"/>
      <c r="N18" s="56"/>
      <c r="O18" s="56"/>
      <c r="P18" s="45"/>
      <c r="Q18" s="194"/>
      <c r="R18" s="54" t="str">
        <f t="shared" si="3"/>
        <v/>
      </c>
      <c r="S18" s="55" t="str">
        <f t="shared" si="4"/>
        <v/>
      </c>
      <c r="T18" s="55" t="str">
        <f t="shared" si="1"/>
        <v/>
      </c>
      <c r="U18" s="55" t="str">
        <f t="shared" si="1"/>
        <v/>
      </c>
    </row>
    <row r="19" spans="1:21" ht="13.5" customHeight="1">
      <c r="A19" s="195"/>
      <c r="B19" s="49"/>
      <c r="C19" s="59"/>
      <c r="D19" s="60"/>
      <c r="E19" s="61"/>
      <c r="F19" s="195"/>
      <c r="G19" s="51" t="str">
        <f t="shared" si="2"/>
        <v/>
      </c>
      <c r="H19" s="58"/>
      <c r="I19" s="58"/>
      <c r="J19" s="58"/>
      <c r="K19" s="195"/>
      <c r="L19" s="51"/>
      <c r="M19" s="56"/>
      <c r="N19" s="56"/>
      <c r="O19" s="56"/>
      <c r="P19" s="45"/>
      <c r="Q19" s="195"/>
      <c r="R19" s="54" t="str">
        <f t="shared" si="3"/>
        <v/>
      </c>
      <c r="S19" s="55" t="str">
        <f t="shared" si="4"/>
        <v/>
      </c>
      <c r="T19" s="55" t="str">
        <f t="shared" si="1"/>
        <v/>
      </c>
      <c r="U19" s="55" t="str">
        <f t="shared" si="1"/>
        <v/>
      </c>
    </row>
    <row r="20" spans="1:21" ht="13.5" customHeight="1">
      <c r="B20" s="62"/>
      <c r="D20" s="8"/>
      <c r="E20" s="8"/>
      <c r="F20" s="8"/>
      <c r="G20" s="63"/>
      <c r="H20" s="63"/>
      <c r="P20" s="45"/>
      <c r="Q20" s="45"/>
      <c r="R20" s="45"/>
    </row>
    <row r="21" spans="1:21">
      <c r="A21" s="64" t="s">
        <v>65</v>
      </c>
      <c r="B21" s="65">
        <v>1.3330776041252375</v>
      </c>
      <c r="C21" s="66">
        <v>9.3661805150682901E-3</v>
      </c>
      <c r="D21" s="65" t="s">
        <v>66</v>
      </c>
      <c r="E21" s="67">
        <v>-9.2717508984207636E-2</v>
      </c>
      <c r="F21" s="68" t="s">
        <v>67</v>
      </c>
      <c r="G21" s="69"/>
      <c r="H21" s="70"/>
      <c r="I21" s="71"/>
      <c r="J21" s="71"/>
      <c r="K21" s="71"/>
    </row>
    <row r="22" spans="1:21">
      <c r="A22" s="64" t="s">
        <v>68</v>
      </c>
      <c r="B22" s="72">
        <v>13.607549055446825</v>
      </c>
      <c r="C22" s="73">
        <v>-0.15236332750582937</v>
      </c>
      <c r="D22" s="74" t="s">
        <v>69</v>
      </c>
      <c r="E22" s="75">
        <v>0.82021012776398305</v>
      </c>
      <c r="F22" s="76" t="s">
        <v>70</v>
      </c>
      <c r="G22" s="77">
        <v>1.7430820054676634E-2</v>
      </c>
      <c r="H22" s="70" t="s">
        <v>71</v>
      </c>
      <c r="I22" s="71">
        <v>-2.6095679300238771E-3</v>
      </c>
      <c r="J22" s="71" t="s">
        <v>72</v>
      </c>
      <c r="K22" s="71"/>
    </row>
    <row r="23" spans="1:21">
      <c r="A23" s="71" t="s">
        <v>60</v>
      </c>
      <c r="F23" s="62"/>
      <c r="G23" s="63"/>
      <c r="H23" s="78"/>
    </row>
    <row r="24" spans="1:21">
      <c r="A24" s="196" t="s">
        <v>42</v>
      </c>
      <c r="B24" s="197"/>
      <c r="C24" s="197"/>
      <c r="D24" s="197"/>
      <c r="E24" s="197"/>
      <c r="F24" s="211" t="s">
        <v>41</v>
      </c>
      <c r="G24" s="197"/>
      <c r="H24" s="197"/>
      <c r="I24" s="197"/>
      <c r="J24" s="198"/>
      <c r="K24" s="211" t="s">
        <v>51</v>
      </c>
      <c r="L24" s="197"/>
      <c r="M24" s="197"/>
      <c r="N24" s="197"/>
      <c r="O24" s="198"/>
      <c r="Q24" s="196" t="s">
        <v>59</v>
      </c>
      <c r="R24" s="197"/>
      <c r="S24" s="197"/>
      <c r="T24" s="197"/>
      <c r="U24" s="198"/>
    </row>
    <row r="25" spans="1:21">
      <c r="A25" s="32"/>
      <c r="B25" s="33"/>
      <c r="C25" s="34" t="s">
        <v>53</v>
      </c>
      <c r="D25" s="34"/>
      <c r="E25" s="34"/>
      <c r="F25" s="35"/>
      <c r="G25" s="33"/>
      <c r="H25" s="34" t="s">
        <v>52</v>
      </c>
      <c r="I25" s="34"/>
      <c r="J25" s="34"/>
      <c r="K25" s="35"/>
      <c r="L25" s="33"/>
      <c r="M25" s="5" t="s">
        <v>54</v>
      </c>
      <c r="N25" s="34"/>
      <c r="O25" s="6"/>
      <c r="Q25" s="37"/>
      <c r="R25" s="38"/>
      <c r="S25" s="5" t="s">
        <v>55</v>
      </c>
      <c r="T25" s="34"/>
      <c r="U25" s="6"/>
    </row>
    <row r="26" spans="1:21" ht="15.6">
      <c r="A26" s="39"/>
      <c r="B26" s="40"/>
      <c r="C26" s="43">
        <v>35</v>
      </c>
      <c r="D26" s="43">
        <v>45</v>
      </c>
      <c r="E26" s="79">
        <v>55</v>
      </c>
      <c r="F26" s="42"/>
      <c r="G26" s="40"/>
      <c r="H26" s="43">
        <v>35</v>
      </c>
      <c r="I26" s="43">
        <v>45</v>
      </c>
      <c r="J26" s="44">
        <v>55</v>
      </c>
      <c r="K26" s="42"/>
      <c r="L26" s="40"/>
      <c r="M26" s="43">
        <v>35</v>
      </c>
      <c r="N26" s="43">
        <v>45</v>
      </c>
      <c r="O26" s="44">
        <v>55</v>
      </c>
      <c r="P26" s="80"/>
      <c r="Q26" s="46"/>
      <c r="R26" s="47"/>
      <c r="S26" s="48">
        <f>IF(C26="","",C26)</f>
        <v>35</v>
      </c>
      <c r="T26" s="48">
        <f t="shared" ref="T26" si="5">IF(D26="","",D26)</f>
        <v>45</v>
      </c>
      <c r="U26" s="48">
        <f t="shared" ref="U26" si="6">IF(E26="","",E26)</f>
        <v>55</v>
      </c>
    </row>
    <row r="27" spans="1:21" ht="15.6">
      <c r="A27" s="193" t="s">
        <v>56</v>
      </c>
      <c r="B27" s="51">
        <v>-35</v>
      </c>
      <c r="C27" s="81">
        <v>49.148218822985378</v>
      </c>
      <c r="D27" s="82">
        <v>44.429355096667656</v>
      </c>
      <c r="E27" s="83">
        <v>38.760286908313113</v>
      </c>
      <c r="F27" s="193" t="s">
        <v>56</v>
      </c>
      <c r="G27" s="51">
        <v>-35</v>
      </c>
      <c r="H27" s="84">
        <v>23.098144708632134</v>
      </c>
      <c r="I27" s="84">
        <v>25.199458967135147</v>
      </c>
      <c r="J27" s="84">
        <v>27.300773225638157</v>
      </c>
      <c r="K27" s="193" t="s">
        <v>56</v>
      </c>
      <c r="L27" s="51">
        <v>-35</v>
      </c>
      <c r="M27" s="53">
        <v>1.0097341701536786</v>
      </c>
      <c r="N27" s="53">
        <v>0.9127866497171222</v>
      </c>
      <c r="O27" s="53">
        <v>0.79631748766407751</v>
      </c>
      <c r="P27" s="80"/>
      <c r="Q27" s="193"/>
      <c r="R27" s="54"/>
      <c r="S27" s="55"/>
      <c r="T27" s="55"/>
      <c r="U27" s="55">
        <f t="shared" ref="U27:U32" si="7">IF(E27="","",E27/J27)</f>
        <v>1.4197505172459117</v>
      </c>
    </row>
    <row r="28" spans="1:21" ht="15.6">
      <c r="A28" s="194"/>
      <c r="B28" s="51">
        <v>-25</v>
      </c>
      <c r="C28" s="85">
        <v>75.099432226033741</v>
      </c>
      <c r="D28" s="86">
        <v>66.501494990574457</v>
      </c>
      <c r="E28" s="87">
        <v>56.172251491727714</v>
      </c>
      <c r="F28" s="194"/>
      <c r="G28" s="51">
        <v>-25</v>
      </c>
      <c r="H28" s="88">
        <v>29.241039210724985</v>
      </c>
      <c r="I28" s="88">
        <v>33.085435474695657</v>
      </c>
      <c r="J28" s="88">
        <v>36.92983173866633</v>
      </c>
      <c r="K28" s="194"/>
      <c r="L28" s="51">
        <v>-25</v>
      </c>
      <c r="M28" s="56">
        <v>0.96470981083277008</v>
      </c>
      <c r="N28" s="56">
        <v>0.85426271212492422</v>
      </c>
      <c r="O28" s="56">
        <v>0.72157565649144995</v>
      </c>
      <c r="P28" s="80"/>
      <c r="Q28" s="194"/>
      <c r="R28" s="54"/>
      <c r="S28" s="55"/>
      <c r="T28" s="55"/>
      <c r="U28" s="55">
        <f t="shared" si="7"/>
        <v>1.5210535452538809</v>
      </c>
    </row>
    <row r="29" spans="1:21" ht="15.6">
      <c r="A29" s="194"/>
      <c r="B29" s="51">
        <v>-15</v>
      </c>
      <c r="C29" s="85">
        <v>112.198762490871</v>
      </c>
      <c r="D29" s="86">
        <v>98.055900080330318</v>
      </c>
      <c r="E29" s="87">
        <v>81.065188749398146</v>
      </c>
      <c r="F29" s="194"/>
      <c r="G29" s="51">
        <v>-15</v>
      </c>
      <c r="H29" s="88">
        <v>34.862020126813064</v>
      </c>
      <c r="I29" s="88">
        <v>40.4494983962514</v>
      </c>
      <c r="J29" s="88">
        <v>46.036976665689728</v>
      </c>
      <c r="K29" s="194"/>
      <c r="L29" s="51">
        <v>-15</v>
      </c>
      <c r="M29" s="56">
        <v>0.93851379315688788</v>
      </c>
      <c r="N29" s="56">
        <v>0.8202123863290498</v>
      </c>
      <c r="O29" s="56">
        <v>0.67808945568688417</v>
      </c>
      <c r="P29" s="80"/>
      <c r="Q29" s="194"/>
      <c r="R29" s="54"/>
      <c r="S29" s="55"/>
      <c r="T29" s="55"/>
      <c r="U29" s="55">
        <f t="shared" si="7"/>
        <v>1.7608712522126615</v>
      </c>
    </row>
    <row r="30" spans="1:21" ht="15.6">
      <c r="A30" s="194"/>
      <c r="B30" s="51"/>
      <c r="C30" s="85"/>
      <c r="D30" s="86"/>
      <c r="E30" s="87"/>
      <c r="F30" s="194"/>
      <c r="G30" s="51"/>
      <c r="H30" s="88"/>
      <c r="I30" s="88"/>
      <c r="J30" s="88"/>
      <c r="K30" s="194"/>
      <c r="L30" s="51"/>
      <c r="M30" s="56"/>
      <c r="N30" s="56"/>
      <c r="O30" s="56"/>
      <c r="P30" s="80"/>
      <c r="Q30" s="194"/>
      <c r="R30" s="54"/>
      <c r="S30" s="55"/>
      <c r="T30" s="55"/>
      <c r="U30" s="55" t="str">
        <f t="shared" si="7"/>
        <v/>
      </c>
    </row>
    <row r="31" spans="1:21" ht="15.6">
      <c r="A31" s="194"/>
      <c r="B31" s="51"/>
      <c r="C31" s="85"/>
      <c r="D31" s="86"/>
      <c r="E31" s="87"/>
      <c r="F31" s="194"/>
      <c r="G31" s="51"/>
      <c r="H31" s="88"/>
      <c r="I31" s="88"/>
      <c r="J31" s="88"/>
      <c r="K31" s="194"/>
      <c r="L31" s="51"/>
      <c r="M31" s="56"/>
      <c r="N31" s="56"/>
      <c r="O31" s="56"/>
      <c r="P31" s="80"/>
      <c r="Q31" s="194"/>
      <c r="R31" s="54"/>
      <c r="S31" s="55"/>
      <c r="T31" s="55"/>
      <c r="U31" s="55" t="str">
        <f t="shared" si="7"/>
        <v/>
      </c>
    </row>
    <row r="32" spans="1:21" ht="15.6">
      <c r="A32" s="195"/>
      <c r="B32" s="89"/>
      <c r="C32" s="85"/>
      <c r="D32" s="86"/>
      <c r="E32" s="87"/>
      <c r="F32" s="195"/>
      <c r="G32" s="51"/>
      <c r="H32" s="56"/>
      <c r="I32" s="56"/>
      <c r="J32" s="56"/>
      <c r="K32" s="195"/>
      <c r="L32" s="51"/>
      <c r="M32" s="56"/>
      <c r="N32" s="56"/>
      <c r="O32" s="56"/>
      <c r="P32" s="80"/>
      <c r="Q32" s="195"/>
      <c r="R32" s="54"/>
      <c r="S32" s="55"/>
      <c r="T32" s="55"/>
      <c r="U32" s="55" t="str">
        <f t="shared" si="7"/>
        <v/>
      </c>
    </row>
    <row r="33" spans="1:21">
      <c r="B33" s="8"/>
      <c r="C33" s="8"/>
      <c r="D33" s="62"/>
      <c r="E33" s="90"/>
      <c r="F33" s="62"/>
      <c r="G33" s="4"/>
      <c r="H33" s="62"/>
      <c r="I33" s="63"/>
      <c r="J33" s="63"/>
      <c r="K33" s="63"/>
      <c r="L33" s="63"/>
      <c r="M33" s="63"/>
    </row>
    <row r="34" spans="1:21">
      <c r="B34" s="8"/>
      <c r="C34" s="8"/>
      <c r="E34" s="90"/>
      <c r="G34" s="91"/>
      <c r="H34" s="92"/>
      <c r="I34" s="36"/>
    </row>
    <row r="35" spans="1:21" ht="20.100000000000001" customHeight="1">
      <c r="B35" s="8"/>
      <c r="C35" s="8"/>
      <c r="E35" s="90"/>
      <c r="G35" s="4"/>
      <c r="H35" s="92"/>
    </row>
    <row r="36" spans="1:21" ht="30" customHeight="1">
      <c r="B36" s="62"/>
      <c r="E36" s="90"/>
      <c r="G36" s="92"/>
      <c r="H36" s="92"/>
      <c r="I36" s="36"/>
    </row>
    <row r="37" spans="1:21" ht="20.100000000000001" customHeight="1">
      <c r="B37" s="62"/>
      <c r="G37" s="92"/>
      <c r="H37" s="93"/>
      <c r="I37" s="36"/>
      <c r="M37" s="94"/>
    </row>
    <row r="38" spans="1:21" ht="227.25" customHeight="1">
      <c r="B38" s="62"/>
      <c r="C38" s="95"/>
      <c r="D38" s="8"/>
      <c r="E38" s="8"/>
      <c r="F38" s="8"/>
      <c r="G38" s="92"/>
      <c r="H38" s="93"/>
      <c r="I38" s="36"/>
      <c r="K38" s="8"/>
      <c r="L38" s="8"/>
      <c r="M38" s="96"/>
      <c r="N38" s="8"/>
    </row>
    <row r="39" spans="1:21">
      <c r="B39" s="62"/>
      <c r="C39" s="95"/>
      <c r="D39" s="8" t="s">
        <v>22</v>
      </c>
      <c r="E39" s="8"/>
      <c r="F39" s="8"/>
      <c r="G39" s="92"/>
      <c r="H39" s="93"/>
      <c r="I39" s="36"/>
      <c r="K39" s="8"/>
      <c r="L39" s="8"/>
      <c r="M39" s="96"/>
      <c r="N39" s="8"/>
    </row>
    <row r="40" spans="1:21">
      <c r="B40" s="62"/>
      <c r="C40" s="202" t="s">
        <v>11</v>
      </c>
      <c r="D40" s="202"/>
      <c r="E40" s="202"/>
      <c r="F40" s="202"/>
      <c r="G40" s="202"/>
      <c r="H40" s="97"/>
      <c r="I40" s="197" t="s">
        <v>12</v>
      </c>
      <c r="J40" s="197"/>
      <c r="K40" s="197"/>
      <c r="L40" s="197"/>
      <c r="M40" s="197"/>
      <c r="N40" s="198"/>
      <c r="O40" s="97"/>
      <c r="P40" s="98"/>
      <c r="Q40" s="197" t="s">
        <v>18</v>
      </c>
      <c r="R40" s="197"/>
      <c r="S40" s="197"/>
      <c r="T40" s="197"/>
      <c r="U40" s="198"/>
    </row>
    <row r="41" spans="1:21">
      <c r="A41" s="99"/>
      <c r="B41" s="15"/>
      <c r="C41" s="203" t="s">
        <v>10</v>
      </c>
      <c r="D41" s="203"/>
      <c r="E41" s="203"/>
      <c r="F41" s="203"/>
      <c r="G41" s="203"/>
      <c r="H41" s="99"/>
      <c r="I41" s="203" t="s">
        <v>10</v>
      </c>
      <c r="J41" s="203"/>
      <c r="K41" s="203"/>
      <c r="L41" s="203"/>
      <c r="M41" s="203"/>
      <c r="O41" s="100"/>
      <c r="P41" s="101"/>
      <c r="Q41" s="212" t="s">
        <v>10</v>
      </c>
      <c r="R41" s="201"/>
      <c r="S41" s="201"/>
      <c r="T41" s="201"/>
      <c r="U41" s="213"/>
    </row>
    <row r="42" spans="1:21">
      <c r="A42" s="102"/>
      <c r="B42" s="15"/>
      <c r="C42" s="103">
        <v>35</v>
      </c>
      <c r="D42" s="103">
        <v>40</v>
      </c>
      <c r="E42" s="103">
        <v>45</v>
      </c>
      <c r="F42" s="103">
        <v>50</v>
      </c>
      <c r="G42" s="104">
        <v>55</v>
      </c>
      <c r="H42" s="102"/>
      <c r="I42" s="105"/>
      <c r="J42" s="106">
        <v>35</v>
      </c>
      <c r="K42" s="107">
        <v>40</v>
      </c>
      <c r="L42" s="107">
        <v>45</v>
      </c>
      <c r="M42" s="107">
        <v>50</v>
      </c>
      <c r="N42" s="107">
        <v>55</v>
      </c>
      <c r="O42" s="39"/>
      <c r="P42" s="108"/>
      <c r="Q42" s="48">
        <v>35</v>
      </c>
      <c r="R42" s="48">
        <v>40</v>
      </c>
      <c r="S42" s="48">
        <v>45</v>
      </c>
      <c r="T42" s="48">
        <v>50</v>
      </c>
      <c r="U42" s="48">
        <v>55</v>
      </c>
    </row>
    <row r="43" spans="1:21">
      <c r="A43" s="109"/>
      <c r="B43" s="110">
        <v>-32</v>
      </c>
      <c r="C43" s="111">
        <v>55.930240442462029</v>
      </c>
      <c r="D43" s="111">
        <v>53.200742695109525</v>
      </c>
      <c r="E43" s="111">
        <v>50.197600973276998</v>
      </c>
      <c r="F43" s="111">
        <v>46.905870304000445</v>
      </c>
      <c r="G43" s="112">
        <v>43.310620137442989</v>
      </c>
      <c r="H43" s="109"/>
      <c r="I43" s="113">
        <v>-32</v>
      </c>
      <c r="J43" s="114">
        <v>24.995813985790491</v>
      </c>
      <c r="K43" s="115">
        <v>26.307933415862141</v>
      </c>
      <c r="L43" s="115">
        <v>27.620052845933802</v>
      </c>
      <c r="M43" s="115">
        <v>28.932172276005453</v>
      </c>
      <c r="N43" s="115">
        <v>30.244291706077099</v>
      </c>
      <c r="O43" s="116"/>
      <c r="P43" s="117">
        <v>-32</v>
      </c>
      <c r="Q43" s="118">
        <f>C43/J43/0.86</f>
        <v>2.60184218614202</v>
      </c>
      <c r="R43" s="118">
        <f t="shared" ref="R43:R50" si="8">D43/K43/0.86</f>
        <v>2.3514324647767615</v>
      </c>
      <c r="S43" s="118">
        <f t="shared" ref="S43:S50" si="9">E43/L43/0.86</f>
        <v>2.1132944163027521</v>
      </c>
      <c r="T43" s="118">
        <f t="shared" ref="T43:T50" si="10">F43/M43/0.86</f>
        <v>1.8851577799102206</v>
      </c>
      <c r="U43" s="118">
        <f t="shared" ref="U43:U50" si="11">G43/N43/0.86</f>
        <v>1.6651468216136069</v>
      </c>
    </row>
    <row r="44" spans="1:21">
      <c r="A44" s="119" t="s">
        <v>6</v>
      </c>
      <c r="B44" s="120">
        <v>-30</v>
      </c>
      <c r="C44" s="121">
        <v>60.907334699550482</v>
      </c>
      <c r="D44" s="121">
        <v>57.823612037698481</v>
      </c>
      <c r="E44" s="121">
        <v>54.43073281903964</v>
      </c>
      <c r="F44" s="121">
        <v>50.711812562956887</v>
      </c>
      <c r="G44" s="122">
        <v>46.649983083744353</v>
      </c>
      <c r="H44" s="119" t="s">
        <v>6</v>
      </c>
      <c r="I44" s="123">
        <v>-30</v>
      </c>
      <c r="J44" s="124">
        <v>26.234831157929154</v>
      </c>
      <c r="K44" s="125">
        <v>27.721258788547569</v>
      </c>
      <c r="L44" s="125">
        <v>29.207686419166006</v>
      </c>
      <c r="M44" s="125">
        <v>30.694114049784421</v>
      </c>
      <c r="N44" s="125">
        <v>32.18054168040284</v>
      </c>
      <c r="O44" s="116" t="s">
        <v>6</v>
      </c>
      <c r="P44" s="126">
        <v>-30</v>
      </c>
      <c r="Q44" s="127">
        <f t="shared" ref="Q44:Q50" si="12">C44/J44/0.86</f>
        <v>2.6995592913268824</v>
      </c>
      <c r="R44" s="127">
        <f t="shared" si="8"/>
        <v>2.4254583349276952</v>
      </c>
      <c r="S44" s="127">
        <f t="shared" si="9"/>
        <v>2.16694841492304</v>
      </c>
      <c r="T44" s="127">
        <f t="shared" si="10"/>
        <v>1.9211248063642721</v>
      </c>
      <c r="U44" s="127">
        <f t="shared" si="11"/>
        <v>1.6856200531105507</v>
      </c>
    </row>
    <row r="45" spans="1:21">
      <c r="A45" s="119" t="s">
        <v>7</v>
      </c>
      <c r="B45" s="120">
        <v>-28</v>
      </c>
      <c r="C45" s="121">
        <v>66.273404542033433</v>
      </c>
      <c r="D45" s="121">
        <v>62.807779049942084</v>
      </c>
      <c r="E45" s="121">
        <v>58.99470958775219</v>
      </c>
      <c r="F45" s="121">
        <v>54.815220620740234</v>
      </c>
      <c r="G45" s="122">
        <v>50.250354927133145</v>
      </c>
      <c r="H45" s="119" t="s">
        <v>7</v>
      </c>
      <c r="I45" s="123">
        <v>-28</v>
      </c>
      <c r="J45" s="124">
        <v>27.452971786627632</v>
      </c>
      <c r="K45" s="125">
        <v>29.113707617792816</v>
      </c>
      <c r="L45" s="125">
        <v>30.774443448958007</v>
      </c>
      <c r="M45" s="125">
        <v>32.435179280123194</v>
      </c>
      <c r="N45" s="125">
        <v>34.095915111288377</v>
      </c>
      <c r="O45" s="116" t="s">
        <v>7</v>
      </c>
      <c r="P45" s="126">
        <v>-28</v>
      </c>
      <c r="Q45" s="127">
        <f t="shared" si="12"/>
        <v>2.8070585182412588</v>
      </c>
      <c r="R45" s="127">
        <f t="shared" si="8"/>
        <v>2.5085194293917161</v>
      </c>
      <c r="S45" s="127">
        <f t="shared" si="9"/>
        <v>2.2290736024005908</v>
      </c>
      <c r="T45" s="127">
        <f t="shared" si="10"/>
        <v>1.9651079489431955</v>
      </c>
      <c r="U45" s="127">
        <f t="shared" si="11"/>
        <v>1.7137139470635079</v>
      </c>
    </row>
    <row r="46" spans="1:21">
      <c r="A46" s="119" t="s">
        <v>8</v>
      </c>
      <c r="B46" s="120">
        <v>-26</v>
      </c>
      <c r="C46" s="121">
        <v>72.050119622569113</v>
      </c>
      <c r="D46" s="121">
        <v>68.173372521005163</v>
      </c>
      <c r="E46" s="121">
        <v>63.907964726844938</v>
      </c>
      <c r="F46" s="121">
        <v>59.232669668028727</v>
      </c>
      <c r="G46" s="122">
        <v>54.126281257883214</v>
      </c>
      <c r="H46" s="119" t="s">
        <v>8</v>
      </c>
      <c r="I46" s="123">
        <v>-26</v>
      </c>
      <c r="J46" s="124">
        <v>28.650235871885918</v>
      </c>
      <c r="K46" s="125">
        <v>30.485279903597863</v>
      </c>
      <c r="L46" s="125">
        <v>32.320323935309823</v>
      </c>
      <c r="M46" s="125">
        <v>34.155367967021775</v>
      </c>
      <c r="N46" s="125">
        <v>35.990411998733727</v>
      </c>
      <c r="O46" s="116" t="s">
        <v>8</v>
      </c>
      <c r="P46" s="126">
        <v>-26</v>
      </c>
      <c r="Q46" s="127">
        <f t="shared" si="12"/>
        <v>2.9242066012330405</v>
      </c>
      <c r="R46" s="127">
        <f t="shared" si="8"/>
        <v>2.6003160754040526</v>
      </c>
      <c r="S46" s="127">
        <f t="shared" si="9"/>
        <v>2.2992215994003407</v>
      </c>
      <c r="T46" s="127">
        <f t="shared" si="10"/>
        <v>2.0165262852652317</v>
      </c>
      <c r="U46" s="127">
        <f t="shared" si="11"/>
        <v>1.7487306438334245</v>
      </c>
    </row>
    <row r="47" spans="1:21">
      <c r="A47" s="119" t="s">
        <v>5</v>
      </c>
      <c r="B47" s="120">
        <v>-24</v>
      </c>
      <c r="C47" s="121">
        <v>78.259850759264097</v>
      </c>
      <c r="D47" s="121">
        <v>73.941172714758238</v>
      </c>
      <c r="E47" s="121">
        <v>69.189528485999404</v>
      </c>
      <c r="F47" s="121">
        <v>63.981271771510336</v>
      </c>
      <c r="G47" s="122">
        <v>58.292779090438081</v>
      </c>
      <c r="H47" s="119" t="s">
        <v>5</v>
      </c>
      <c r="I47" s="123">
        <v>-24</v>
      </c>
      <c r="J47" s="124">
        <v>29.826623413704009</v>
      </c>
      <c r="K47" s="125">
        <v>31.835975645962723</v>
      </c>
      <c r="L47" s="125">
        <v>33.845327878221454</v>
      </c>
      <c r="M47" s="125">
        <v>35.854680110480167</v>
      </c>
      <c r="N47" s="125">
        <v>37.864032342738881</v>
      </c>
      <c r="O47" s="116" t="s">
        <v>5</v>
      </c>
      <c r="P47" s="126">
        <v>-24</v>
      </c>
      <c r="Q47" s="127">
        <f t="shared" si="12"/>
        <v>3.0509597148180774</v>
      </c>
      <c r="R47" s="127">
        <f t="shared" si="8"/>
        <v>2.7006588007225631</v>
      </c>
      <c r="S47" s="127">
        <f t="shared" si="9"/>
        <v>2.3770766939967682</v>
      </c>
      <c r="T47" s="127">
        <f t="shared" si="10"/>
        <v>2.0749544386409187</v>
      </c>
      <c r="U47" s="127">
        <f t="shared" si="11"/>
        <v>1.790150099556149</v>
      </c>
    </row>
    <row r="48" spans="1:21">
      <c r="A48" s="128"/>
      <c r="B48" s="120">
        <v>-22</v>
      </c>
      <c r="C48" s="121">
        <v>84.925685102948478</v>
      </c>
      <c r="D48" s="121">
        <v>80.132625481676058</v>
      </c>
      <c r="E48" s="121">
        <v>74.859040867863513</v>
      </c>
      <c r="F48" s="121">
        <v>69.078687551830512</v>
      </c>
      <c r="G48" s="122">
        <v>62.765347151233286</v>
      </c>
      <c r="H48" s="128"/>
      <c r="I48" s="123">
        <v>-22</v>
      </c>
      <c r="J48" s="124">
        <v>30.982134412081916</v>
      </c>
      <c r="K48" s="125">
        <v>33.165794844887394</v>
      </c>
      <c r="L48" s="125">
        <v>35.349455277692883</v>
      </c>
      <c r="M48" s="125">
        <v>37.533115710498365</v>
      </c>
      <c r="N48" s="125">
        <v>39.716776143303846</v>
      </c>
      <c r="O48" s="129"/>
      <c r="P48" s="126">
        <v>-22</v>
      </c>
      <c r="Q48" s="127">
        <f t="shared" si="12"/>
        <v>3.1873464661242381</v>
      </c>
      <c r="R48" s="127">
        <f t="shared" si="8"/>
        <v>2.8094448490108954</v>
      </c>
      <c r="S48" s="127">
        <f t="shared" si="9"/>
        <v>2.4624253945126684</v>
      </c>
      <c r="T48" s="127">
        <f t="shared" si="10"/>
        <v>2.1400849295961537</v>
      </c>
      <c r="U48" s="127">
        <f t="shared" si="11"/>
        <v>1.8375852445935341</v>
      </c>
    </row>
    <row r="49" spans="1:21">
      <c r="A49" s="128"/>
      <c r="B49" s="120">
        <v>-20</v>
      </c>
      <c r="C49" s="121">
        <v>92.071444772402614</v>
      </c>
      <c r="D49" s="121">
        <v>86.769859593977515</v>
      </c>
      <c r="E49" s="121">
        <v>80.936767532765572</v>
      </c>
      <c r="F49" s="121">
        <v>74.543140520421929</v>
      </c>
      <c r="G49" s="122">
        <v>67.559978503072912</v>
      </c>
      <c r="H49" s="128"/>
      <c r="I49" s="123">
        <v>-20</v>
      </c>
      <c r="J49" s="124">
        <v>32.116768867019623</v>
      </c>
      <c r="K49" s="125">
        <v>34.47473750037188</v>
      </c>
      <c r="L49" s="125">
        <v>36.832706133724137</v>
      </c>
      <c r="M49" s="125">
        <v>39.190674767076381</v>
      </c>
      <c r="N49" s="125">
        <v>41.548643400428631</v>
      </c>
      <c r="O49" s="116" t="s">
        <v>9</v>
      </c>
      <c r="P49" s="126">
        <v>-20</v>
      </c>
      <c r="Q49" s="127">
        <f t="shared" si="12"/>
        <v>3.3334554900612172</v>
      </c>
      <c r="R49" s="127">
        <f t="shared" si="8"/>
        <v>2.9266411549414726</v>
      </c>
      <c r="S49" s="127">
        <f t="shared" si="9"/>
        <v>2.5551345601719717</v>
      </c>
      <c r="T49" s="127">
        <f t="shared" si="10"/>
        <v>2.211701403146058</v>
      </c>
      <c r="U49" s="127">
        <f t="shared" si="11"/>
        <v>1.8907504098592649</v>
      </c>
    </row>
    <row r="50" spans="1:21">
      <c r="A50" s="102"/>
      <c r="B50" s="130">
        <v>-18</v>
      </c>
      <c r="C50" s="131">
        <v>99.721709573343887</v>
      </c>
      <c r="D50" s="131">
        <v>93.875707876149491</v>
      </c>
      <c r="E50" s="131">
        <v>87.44361918152515</v>
      </c>
      <c r="F50" s="131">
        <v>80.393434546654802</v>
      </c>
      <c r="G50" s="132">
        <v>72.693175919982508</v>
      </c>
      <c r="H50" s="102"/>
      <c r="I50" s="133">
        <v>-18</v>
      </c>
      <c r="J50" s="134">
        <v>33.230526778517145</v>
      </c>
      <c r="K50" s="135">
        <v>35.762803612416157</v>
      </c>
      <c r="L50" s="135">
        <v>38.29508044631519</v>
      </c>
      <c r="M50" s="135">
        <v>40.827357280214201</v>
      </c>
      <c r="N50" s="135">
        <v>43.35963411411322</v>
      </c>
      <c r="O50" s="136"/>
      <c r="P50" s="137">
        <v>-18</v>
      </c>
      <c r="Q50" s="138">
        <f t="shared" si="12"/>
        <v>3.4894263645268824</v>
      </c>
      <c r="R50" s="138">
        <f t="shared" si="8"/>
        <v>3.0522718811142169</v>
      </c>
      <c r="S50" s="138">
        <f t="shared" si="9"/>
        <v>2.6551354839899672</v>
      </c>
      <c r="T50" s="138">
        <f t="shared" si="10"/>
        <v>2.2896592890730694</v>
      </c>
      <c r="U50" s="138">
        <f t="shared" si="11"/>
        <v>1.9494386996372937</v>
      </c>
    </row>
    <row r="51" spans="1:21">
      <c r="B51" s="62"/>
      <c r="C51" s="95"/>
      <c r="D51" s="8"/>
      <c r="E51" s="8"/>
      <c r="F51" s="8"/>
      <c r="G51" s="92"/>
      <c r="H51" s="93"/>
      <c r="I51" s="36"/>
      <c r="K51" s="8"/>
      <c r="L51" s="8"/>
      <c r="M51" s="96"/>
      <c r="N51" s="8"/>
    </row>
    <row r="52" spans="1:21" hidden="1">
      <c r="B52" s="62"/>
      <c r="C52" s="95"/>
      <c r="D52" s="8"/>
      <c r="E52" s="8"/>
      <c r="F52" s="8"/>
      <c r="G52" s="92"/>
      <c r="H52" s="93"/>
      <c r="I52" s="36"/>
      <c r="K52" s="8"/>
      <c r="L52" s="8"/>
      <c r="M52" s="96"/>
      <c r="N52" s="8"/>
    </row>
    <row r="53" spans="1:21" hidden="1">
      <c r="B53" s="62"/>
      <c r="C53" s="95"/>
      <c r="D53" s="8"/>
      <c r="E53" s="8"/>
      <c r="F53" s="8"/>
      <c r="G53" s="92"/>
      <c r="H53" s="93"/>
      <c r="I53" s="36"/>
      <c r="K53" s="8"/>
      <c r="L53" s="8"/>
      <c r="M53" s="96"/>
      <c r="N53" s="8"/>
    </row>
    <row r="54" spans="1:21" hidden="1">
      <c r="B54" s="62"/>
      <c r="C54" s="95"/>
      <c r="D54" s="8"/>
      <c r="E54" s="8"/>
      <c r="F54" s="8"/>
      <c r="G54" s="92"/>
      <c r="H54" s="93"/>
      <c r="I54" s="36"/>
      <c r="K54" s="8"/>
      <c r="L54" s="8"/>
      <c r="M54" s="96"/>
      <c r="N54" s="8"/>
    </row>
    <row r="55" spans="1:21" hidden="1">
      <c r="B55" s="62"/>
      <c r="C55" s="8"/>
      <c r="D55" s="8"/>
      <c r="E55" s="8"/>
      <c r="F55" s="8"/>
      <c r="G55" s="36"/>
      <c r="H55" s="93"/>
      <c r="I55" s="36"/>
      <c r="K55" s="8"/>
      <c r="L55" s="8"/>
      <c r="M55" s="8"/>
      <c r="N55" s="8"/>
    </row>
    <row r="56" spans="1:21">
      <c r="B56" s="139"/>
      <c r="C56" s="139"/>
      <c r="D56" s="139"/>
      <c r="E56" s="139"/>
      <c r="F56" s="8"/>
      <c r="G56" s="36"/>
      <c r="H56" s="93"/>
      <c r="I56" s="36"/>
      <c r="K56" s="8"/>
      <c r="L56" s="8"/>
      <c r="M56" s="8"/>
      <c r="N56" s="8"/>
    </row>
    <row r="57" spans="1:21" ht="18" customHeight="1">
      <c r="A57" s="140"/>
      <c r="B57" s="141"/>
      <c r="C57" s="197" t="s">
        <v>25</v>
      </c>
      <c r="D57" s="197"/>
      <c r="E57" s="197"/>
      <c r="F57" s="197"/>
      <c r="G57" s="198"/>
      <c r="H57" s="97"/>
      <c r="I57" s="98"/>
      <c r="J57" s="197" t="s">
        <v>15</v>
      </c>
      <c r="K57" s="197"/>
      <c r="L57" s="197"/>
      <c r="M57" s="197"/>
      <c r="N57" s="198"/>
      <c r="O57" s="97"/>
      <c r="P57" s="98"/>
      <c r="Q57" s="197" t="s">
        <v>23</v>
      </c>
      <c r="R57" s="197"/>
      <c r="S57" s="197"/>
      <c r="T57" s="197"/>
      <c r="U57" s="198"/>
    </row>
    <row r="58" spans="1:21">
      <c r="A58" s="100"/>
      <c r="B58" s="101"/>
      <c r="C58" s="201" t="s">
        <v>10</v>
      </c>
      <c r="D58" s="201"/>
      <c r="E58" s="201"/>
      <c r="F58" s="201"/>
      <c r="G58" s="201"/>
      <c r="H58" s="100"/>
      <c r="I58" s="101"/>
      <c r="J58" s="212" t="s">
        <v>10</v>
      </c>
      <c r="K58" s="201"/>
      <c r="L58" s="201"/>
      <c r="M58" s="201"/>
      <c r="N58" s="213"/>
      <c r="O58" s="100"/>
      <c r="P58" s="101"/>
      <c r="Q58" s="212" t="s">
        <v>10</v>
      </c>
      <c r="R58" s="201"/>
      <c r="S58" s="201"/>
      <c r="T58" s="201"/>
      <c r="U58" s="213"/>
    </row>
    <row r="59" spans="1:21">
      <c r="A59" s="39"/>
      <c r="B59" s="108"/>
      <c r="C59" s="142">
        <v>35</v>
      </c>
      <c r="D59" s="142">
        <v>40</v>
      </c>
      <c r="E59" s="142">
        <v>45</v>
      </c>
      <c r="F59" s="142">
        <v>50</v>
      </c>
      <c r="G59" s="26">
        <v>55</v>
      </c>
      <c r="H59" s="39"/>
      <c r="I59" s="108"/>
      <c r="J59" s="143">
        <v>35</v>
      </c>
      <c r="K59" s="48">
        <v>40</v>
      </c>
      <c r="L59" s="48">
        <v>45</v>
      </c>
      <c r="M59" s="48">
        <v>50</v>
      </c>
      <c r="N59" s="48">
        <v>55</v>
      </c>
      <c r="O59" s="39"/>
      <c r="P59" s="108"/>
      <c r="Q59" s="48">
        <v>35</v>
      </c>
      <c r="R59" s="48">
        <v>40</v>
      </c>
      <c r="S59" s="48">
        <v>45</v>
      </c>
      <c r="T59" s="48">
        <v>50</v>
      </c>
      <c r="U59" s="48">
        <v>55</v>
      </c>
    </row>
    <row r="60" spans="1:21">
      <c r="A60" s="109"/>
      <c r="B60" s="110">
        <v>-32</v>
      </c>
      <c r="C60" s="144">
        <v>41.995155655818735</v>
      </c>
      <c r="D60" s="144">
        <v>37.949971773502341</v>
      </c>
      <c r="E60" s="144">
        <v>33.894238106497198</v>
      </c>
      <c r="F60" s="144">
        <v>29.853904562034423</v>
      </c>
      <c r="G60" s="145">
        <v>25.858669842247359</v>
      </c>
      <c r="H60" s="109"/>
      <c r="I60" s="113">
        <v>-32</v>
      </c>
      <c r="J60" s="146">
        <f>J43</f>
        <v>24.995813985790491</v>
      </c>
      <c r="K60" s="146">
        <f>K43</f>
        <v>26.307933415862141</v>
      </c>
      <c r="L60" s="146">
        <f>L43</f>
        <v>27.620052845933802</v>
      </c>
      <c r="M60" s="146">
        <f>M43</f>
        <v>28.932172276005453</v>
      </c>
      <c r="N60" s="146">
        <f>N43</f>
        <v>30.244291706077099</v>
      </c>
      <c r="O60" s="101"/>
      <c r="P60" s="117">
        <v>-32</v>
      </c>
      <c r="Q60" s="118">
        <f>C60/J60/0.86</f>
        <v>1.9535901640064546</v>
      </c>
      <c r="R60" s="118">
        <f t="shared" ref="R60:U67" si="13">D60/K60/0.86</f>
        <v>1.6773599604987885</v>
      </c>
      <c r="S60" s="118">
        <f t="shared" si="13"/>
        <v>1.4269308243122687</v>
      </c>
      <c r="T60" s="118">
        <f t="shared" si="13"/>
        <v>1.1998353315068231</v>
      </c>
      <c r="U60" s="118">
        <f t="shared" si="13"/>
        <v>0.99417837385682717</v>
      </c>
    </row>
    <row r="61" spans="1:21">
      <c r="A61" s="119" t="s">
        <v>6</v>
      </c>
      <c r="B61" s="120">
        <v>-30</v>
      </c>
      <c r="C61" s="147">
        <v>46.229556982505635</v>
      </c>
      <c r="D61" s="147">
        <v>41.718858845983803</v>
      </c>
      <c r="E61" s="147">
        <v>37.195195388826313</v>
      </c>
      <c r="F61" s="147">
        <v>32.687827246452009</v>
      </c>
      <c r="G61" s="148">
        <v>28.230252326074528</v>
      </c>
      <c r="H61" s="119" t="s">
        <v>6</v>
      </c>
      <c r="I61" s="123">
        <v>-30</v>
      </c>
      <c r="J61" s="149">
        <f t="shared" ref="J61:N67" si="14">J44</f>
        <v>26.234831157929154</v>
      </c>
      <c r="K61" s="149">
        <f t="shared" si="14"/>
        <v>27.721258788547569</v>
      </c>
      <c r="L61" s="149">
        <f t="shared" si="14"/>
        <v>29.207686419166006</v>
      </c>
      <c r="M61" s="149">
        <f t="shared" si="14"/>
        <v>30.694114049784421</v>
      </c>
      <c r="N61" s="149">
        <f t="shared" si="14"/>
        <v>32.18054168040284</v>
      </c>
      <c r="O61" s="101" t="s">
        <v>6</v>
      </c>
      <c r="P61" s="126">
        <v>-30</v>
      </c>
      <c r="Q61" s="127">
        <f t="shared" ref="Q61:Q67" si="15">C61/J61/0.86</f>
        <v>2.0490049466401898</v>
      </c>
      <c r="R61" s="127">
        <f t="shared" si="13"/>
        <v>1.7499313921394892</v>
      </c>
      <c r="S61" s="127">
        <f t="shared" si="13"/>
        <v>1.4807823726814933</v>
      </c>
      <c r="T61" s="127">
        <f t="shared" si="13"/>
        <v>1.2383188968319403</v>
      </c>
      <c r="U61" s="127">
        <f t="shared" si="13"/>
        <v>1.0200535194145359</v>
      </c>
    </row>
    <row r="62" spans="1:21">
      <c r="A62" s="119" t="s">
        <v>7</v>
      </c>
      <c r="B62" s="120">
        <v>-28</v>
      </c>
      <c r="C62" s="147">
        <v>50.847503874198772</v>
      </c>
      <c r="D62" s="147">
        <v>45.830274856994748</v>
      </c>
      <c r="E62" s="147">
        <v>40.797054001297383</v>
      </c>
      <c r="F62" s="147">
        <v>35.780651644383489</v>
      </c>
      <c r="G62" s="148">
        <v>30.818642536849328</v>
      </c>
      <c r="H62" s="119" t="s">
        <v>7</v>
      </c>
      <c r="I62" s="123">
        <v>-28</v>
      </c>
      <c r="J62" s="149">
        <f t="shared" si="14"/>
        <v>27.452971786627632</v>
      </c>
      <c r="K62" s="149">
        <f t="shared" si="14"/>
        <v>29.113707617792816</v>
      </c>
      <c r="L62" s="149">
        <f t="shared" si="14"/>
        <v>30.774443448958007</v>
      </c>
      <c r="M62" s="149">
        <f t="shared" si="14"/>
        <v>32.435179280123194</v>
      </c>
      <c r="N62" s="149">
        <f t="shared" si="14"/>
        <v>34.095915111288377</v>
      </c>
      <c r="O62" s="101" t="s">
        <v>7</v>
      </c>
      <c r="P62" s="126">
        <v>-28</v>
      </c>
      <c r="Q62" s="127">
        <f t="shared" si="15"/>
        <v>2.1536832137671209</v>
      </c>
      <c r="R62" s="127">
        <f t="shared" si="13"/>
        <v>1.8304442008961626</v>
      </c>
      <c r="S62" s="127">
        <f t="shared" si="13"/>
        <v>1.5414879870666105</v>
      </c>
      <c r="T62" s="127">
        <f t="shared" si="13"/>
        <v>1.2827248010407786</v>
      </c>
      <c r="U62" s="127">
        <f t="shared" si="13"/>
        <v>1.051024169312798</v>
      </c>
    </row>
    <row r="63" spans="1:21">
      <c r="A63" s="119" t="s">
        <v>8</v>
      </c>
      <c r="B63" s="120">
        <v>-26</v>
      </c>
      <c r="C63" s="147">
        <v>55.876398756587569</v>
      </c>
      <c r="D63" s="147">
        <v>50.30887518523312</v>
      </c>
      <c r="E63" s="147">
        <v>44.721649588123633</v>
      </c>
      <c r="F63" s="147">
        <v>39.151332773764288</v>
      </c>
      <c r="G63" s="148">
        <v>33.639868010332009</v>
      </c>
      <c r="H63" s="119" t="s">
        <v>8</v>
      </c>
      <c r="I63" s="123">
        <v>-26</v>
      </c>
      <c r="J63" s="149">
        <f t="shared" si="14"/>
        <v>28.650235871885918</v>
      </c>
      <c r="K63" s="149">
        <f t="shared" si="14"/>
        <v>30.485279903597863</v>
      </c>
      <c r="L63" s="149">
        <f t="shared" si="14"/>
        <v>32.320323935309823</v>
      </c>
      <c r="M63" s="149">
        <f t="shared" si="14"/>
        <v>34.155367967021775</v>
      </c>
      <c r="N63" s="149">
        <f t="shared" si="14"/>
        <v>35.990411998733727</v>
      </c>
      <c r="O63" s="101" t="s">
        <v>8</v>
      </c>
      <c r="P63" s="126">
        <v>-26</v>
      </c>
      <c r="Q63" s="127">
        <f t="shared" si="15"/>
        <v>2.2677843555718558</v>
      </c>
      <c r="R63" s="127">
        <f t="shared" si="13"/>
        <v>1.9189160231049236</v>
      </c>
      <c r="S63" s="127">
        <f t="shared" si="13"/>
        <v>1.608954112892206</v>
      </c>
      <c r="T63" s="127">
        <f t="shared" si="13"/>
        <v>1.3328741061974365</v>
      </c>
      <c r="U63" s="127">
        <f t="shared" si="13"/>
        <v>1.0868485082856389</v>
      </c>
    </row>
    <row r="64" spans="1:21">
      <c r="A64" s="119" t="s">
        <v>5</v>
      </c>
      <c r="B64" s="120">
        <v>-24</v>
      </c>
      <c r="C64" s="147">
        <v>61.34508258229333</v>
      </c>
      <c r="D64" s="147">
        <v>55.180621022479947</v>
      </c>
      <c r="E64" s="147">
        <v>48.991985354788753</v>
      </c>
      <c r="F64" s="147">
        <v>42.819849725144742</v>
      </c>
      <c r="G64" s="148">
        <v>36.710832016429421</v>
      </c>
      <c r="H64" s="119" t="s">
        <v>5</v>
      </c>
      <c r="I64" s="123">
        <v>-24</v>
      </c>
      <c r="J64" s="149">
        <f t="shared" si="14"/>
        <v>29.826623413704009</v>
      </c>
      <c r="K64" s="149">
        <f t="shared" si="14"/>
        <v>31.835975645962723</v>
      </c>
      <c r="L64" s="149">
        <f t="shared" si="14"/>
        <v>33.845327878221454</v>
      </c>
      <c r="M64" s="149">
        <f t="shared" si="14"/>
        <v>35.854680110480167</v>
      </c>
      <c r="N64" s="149">
        <f t="shared" si="14"/>
        <v>37.864032342738881</v>
      </c>
      <c r="O64" s="101" t="s">
        <v>5</v>
      </c>
      <c r="P64" s="126">
        <v>-24</v>
      </c>
      <c r="Q64" s="127">
        <f t="shared" si="15"/>
        <v>2.3915375999948436</v>
      </c>
      <c r="R64" s="127">
        <f t="shared" si="13"/>
        <v>2.0154404416681992</v>
      </c>
      <c r="S64" s="127">
        <f t="shared" si="13"/>
        <v>1.6831695363130668</v>
      </c>
      <c r="T64" s="127">
        <f t="shared" si="13"/>
        <v>1.3886756982015653</v>
      </c>
      <c r="U64" s="127">
        <f t="shared" si="13"/>
        <v>1.1273763339888538</v>
      </c>
    </row>
    <row r="65" spans="1:21">
      <c r="A65" s="128"/>
      <c r="B65" s="120">
        <v>-22</v>
      </c>
      <c r="C65" s="147">
        <v>67.283896729222491</v>
      </c>
      <c r="D65" s="147">
        <v>60.472835675270083</v>
      </c>
      <c r="E65" s="147">
        <v>53.632282521057107</v>
      </c>
      <c r="F65" s="147">
        <v>46.8072500242736</v>
      </c>
      <c r="G65" s="148">
        <v>40.049351603209587</v>
      </c>
      <c r="H65" s="128"/>
      <c r="I65" s="123">
        <v>-22</v>
      </c>
      <c r="J65" s="149">
        <f t="shared" si="14"/>
        <v>30.982134412081916</v>
      </c>
      <c r="K65" s="149">
        <f t="shared" si="14"/>
        <v>33.165794844887394</v>
      </c>
      <c r="L65" s="149">
        <f t="shared" si="14"/>
        <v>35.349455277692883</v>
      </c>
      <c r="M65" s="149">
        <f t="shared" si="14"/>
        <v>37.533115710498365</v>
      </c>
      <c r="N65" s="149">
        <f t="shared" si="14"/>
        <v>39.716776143303846</v>
      </c>
      <c r="O65" s="150"/>
      <c r="P65" s="126">
        <v>-22</v>
      </c>
      <c r="Q65" s="127">
        <f t="shared" si="15"/>
        <v>2.5252323864916328</v>
      </c>
      <c r="R65" s="127">
        <f t="shared" si="13"/>
        <v>2.1201738451939254</v>
      </c>
      <c r="S65" s="127">
        <f t="shared" si="13"/>
        <v>1.7641889732282661</v>
      </c>
      <c r="T65" s="127">
        <f t="shared" si="13"/>
        <v>1.4501070289968572</v>
      </c>
      <c r="U65" s="127">
        <f t="shared" si="13"/>
        <v>1.1725275315417463</v>
      </c>
    </row>
    <row r="66" spans="1:21">
      <c r="A66" s="128"/>
      <c r="B66" s="120">
        <v>-20</v>
      </c>
      <c r="C66" s="147">
        <v>73.724750395689412</v>
      </c>
      <c r="D66" s="147">
        <v>66.214265793053457</v>
      </c>
      <c r="E66" s="147">
        <v>58.668035119103024</v>
      </c>
      <c r="F66" s="147">
        <v>51.135697750307656</v>
      </c>
      <c r="G66" s="148">
        <v>43.674198802409414</v>
      </c>
      <c r="H66" s="128"/>
      <c r="I66" s="123">
        <v>-20</v>
      </c>
      <c r="J66" s="149">
        <f t="shared" si="14"/>
        <v>32.116768867019623</v>
      </c>
      <c r="K66" s="149">
        <f t="shared" si="14"/>
        <v>34.47473750037188</v>
      </c>
      <c r="L66" s="149">
        <f t="shared" si="14"/>
        <v>36.832706133724137</v>
      </c>
      <c r="M66" s="149">
        <f t="shared" si="14"/>
        <v>39.190674767076381</v>
      </c>
      <c r="N66" s="149">
        <f t="shared" si="14"/>
        <v>41.548643400428631</v>
      </c>
      <c r="O66" s="101" t="s">
        <v>9</v>
      </c>
      <c r="P66" s="126">
        <v>-20</v>
      </c>
      <c r="Q66" s="127">
        <f t="shared" si="15"/>
        <v>2.6692116602211398</v>
      </c>
      <c r="R66" s="127">
        <f t="shared" si="13"/>
        <v>2.2333261367595183</v>
      </c>
      <c r="S66" s="127">
        <f t="shared" si="13"/>
        <v>1.8521214607380667</v>
      </c>
      <c r="T66" s="127">
        <f t="shared" si="13"/>
        <v>1.5172005589732833</v>
      </c>
      <c r="U66" s="127">
        <f t="shared" si="13"/>
        <v>1.2222770213311225</v>
      </c>
    </row>
    <row r="67" spans="1:21">
      <c r="A67" s="102"/>
      <c r="B67" s="130">
        <v>-18</v>
      </c>
      <c r="C67" s="151">
        <v>80.701194373025942</v>
      </c>
      <c r="D67" s="151">
        <v>72.43514831496168</v>
      </c>
      <c r="E67" s="151">
        <v>64.126069838032961</v>
      </c>
      <c r="F67" s="151">
        <v>55.828526018237682</v>
      </c>
      <c r="G67" s="152">
        <v>47.605145510965528</v>
      </c>
      <c r="H67" s="102"/>
      <c r="I67" s="133">
        <v>-18</v>
      </c>
      <c r="J67" s="153">
        <f t="shared" si="14"/>
        <v>33.230526778517145</v>
      </c>
      <c r="K67" s="153">
        <f t="shared" si="14"/>
        <v>35.762803612416157</v>
      </c>
      <c r="L67" s="153">
        <f t="shared" si="14"/>
        <v>38.29508044631519</v>
      </c>
      <c r="M67" s="153">
        <f t="shared" si="14"/>
        <v>40.827357280214201</v>
      </c>
      <c r="N67" s="153">
        <f t="shared" si="14"/>
        <v>43.35963411411322</v>
      </c>
      <c r="O67" s="47"/>
      <c r="P67" s="137">
        <v>-18</v>
      </c>
      <c r="Q67" s="138">
        <f t="shared" si="15"/>
        <v>2.8238673053126093</v>
      </c>
      <c r="R67" s="138">
        <f t="shared" si="13"/>
        <v>2.3551541864033925</v>
      </c>
      <c r="S67" s="138">
        <f t="shared" si="13"/>
        <v>1.9471221007255937</v>
      </c>
      <c r="T67" s="138">
        <f t="shared" si="13"/>
        <v>1.590034110543352</v>
      </c>
      <c r="U67" s="138">
        <f t="shared" si="13"/>
        <v>1.2766440836632951</v>
      </c>
    </row>
    <row r="68" spans="1:21">
      <c r="B68" s="62"/>
      <c r="C68" s="154"/>
      <c r="D68" s="154"/>
      <c r="E68" s="154"/>
      <c r="F68" s="154"/>
      <c r="G68" s="154"/>
      <c r="I68" s="155"/>
      <c r="J68" s="156"/>
      <c r="K68" s="156"/>
      <c r="L68" s="156"/>
      <c r="M68" s="156"/>
      <c r="N68" s="156"/>
    </row>
    <row r="69" spans="1:21">
      <c r="B69" s="62"/>
    </row>
    <row r="70" spans="1:21">
      <c r="A70" s="62"/>
      <c r="B70" s="62"/>
      <c r="C70" s="62"/>
      <c r="D70" s="207"/>
      <c r="E70" s="207"/>
      <c r="F70" s="207"/>
      <c r="G70" s="207"/>
      <c r="H70" s="207"/>
      <c r="I70" s="207"/>
      <c r="J70" s="207"/>
      <c r="K70" s="207"/>
      <c r="L70" s="207"/>
      <c r="M70" s="207"/>
      <c r="N70" s="207"/>
      <c r="O70" s="97"/>
      <c r="P70" s="98"/>
      <c r="Q70" s="197" t="s">
        <v>24</v>
      </c>
      <c r="R70" s="197"/>
      <c r="S70" s="197"/>
      <c r="T70" s="197"/>
      <c r="U70" s="198"/>
    </row>
    <row r="71" spans="1:21">
      <c r="A71" s="109"/>
      <c r="B71" s="109"/>
      <c r="C71" s="109"/>
      <c r="D71" s="197" t="s">
        <v>14</v>
      </c>
      <c r="E71" s="197"/>
      <c r="F71" s="198"/>
      <c r="G71" s="196" t="s">
        <v>13</v>
      </c>
      <c r="H71" s="197"/>
      <c r="I71" s="198"/>
      <c r="J71" s="214"/>
      <c r="K71" s="214"/>
      <c r="L71" s="214"/>
      <c r="M71" s="214"/>
      <c r="N71" s="214"/>
      <c r="O71" s="100"/>
      <c r="P71" s="101"/>
      <c r="Q71" s="212" t="s">
        <v>10</v>
      </c>
      <c r="R71" s="201"/>
      <c r="S71" s="201"/>
      <c r="T71" s="201"/>
      <c r="U71" s="213"/>
    </row>
    <row r="72" spans="1:21">
      <c r="A72" s="157" t="s">
        <v>16</v>
      </c>
      <c r="B72" s="157" t="s">
        <v>17</v>
      </c>
      <c r="C72" s="157"/>
      <c r="D72" s="106">
        <f>M26</f>
        <v>35</v>
      </c>
      <c r="E72" s="106">
        <f>N26</f>
        <v>45</v>
      </c>
      <c r="F72" s="106">
        <f>D72</f>
        <v>35</v>
      </c>
      <c r="G72" s="106">
        <f>E72</f>
        <v>45</v>
      </c>
      <c r="H72" s="106">
        <f>N26</f>
        <v>45</v>
      </c>
      <c r="I72" s="106"/>
      <c r="J72" s="158"/>
      <c r="K72" s="158"/>
      <c r="L72" s="158"/>
      <c r="M72" s="158"/>
      <c r="N72" s="158"/>
      <c r="O72" s="39"/>
      <c r="P72" s="108"/>
      <c r="Q72" s="48">
        <v>35</v>
      </c>
      <c r="R72" s="48">
        <v>40</v>
      </c>
      <c r="S72" s="48">
        <v>45</v>
      </c>
      <c r="T72" s="48">
        <v>50</v>
      </c>
      <c r="U72" s="48">
        <v>55</v>
      </c>
    </row>
    <row r="73" spans="1:21">
      <c r="A73" s="14">
        <v>4.7878318380820248</v>
      </c>
      <c r="B73" s="14">
        <v>0.3719233795238876</v>
      </c>
      <c r="C73" s="14">
        <v>12.873167167417922</v>
      </c>
      <c r="D73" s="14">
        <v>1.0956245219078622</v>
      </c>
      <c r="E73" s="14"/>
      <c r="F73" s="14"/>
      <c r="G73" s="14">
        <v>1.0097341701536786</v>
      </c>
      <c r="H73" s="14"/>
      <c r="I73" s="14"/>
      <c r="J73" s="159"/>
      <c r="K73" s="159"/>
      <c r="L73" s="159"/>
      <c r="M73" s="159"/>
      <c r="N73" s="159"/>
      <c r="O73" s="119"/>
      <c r="P73" s="117">
        <v>-32</v>
      </c>
      <c r="Q73" s="160">
        <f t="shared" ref="Q73:T80" si="16">Q60/$U$60</f>
        <v>1.9650298330546803</v>
      </c>
      <c r="R73" s="160">
        <f t="shared" si="16"/>
        <v>1.6871821039433987</v>
      </c>
      <c r="S73" s="160">
        <f t="shared" si="16"/>
        <v>1.435286525874242</v>
      </c>
      <c r="T73" s="160">
        <f t="shared" si="16"/>
        <v>1.2068612263734604</v>
      </c>
      <c r="U73" s="160">
        <f>U60/$U$60</f>
        <v>1</v>
      </c>
    </row>
    <row r="74" spans="1:21">
      <c r="A74" s="14">
        <v>6.2233594418684053</v>
      </c>
      <c r="B74" s="14">
        <v>0.3719233795238876</v>
      </c>
      <c r="C74" s="14">
        <v>16.732907325791537</v>
      </c>
      <c r="D74" s="14"/>
      <c r="E74" s="14">
        <v>0.91886269724632264</v>
      </c>
      <c r="F74" s="14"/>
      <c r="G74" s="14"/>
      <c r="H74" s="14">
        <v>0.9127866497171222</v>
      </c>
      <c r="I74" s="14"/>
      <c r="J74" s="159"/>
      <c r="K74" s="159"/>
      <c r="L74" s="159"/>
      <c r="M74" s="159"/>
      <c r="N74" s="159"/>
      <c r="O74" s="119" t="s">
        <v>6</v>
      </c>
      <c r="P74" s="126">
        <v>-30</v>
      </c>
      <c r="Q74" s="161">
        <f t="shared" si="16"/>
        <v>2.0610033375512447</v>
      </c>
      <c r="R74" s="161">
        <f t="shared" si="16"/>
        <v>1.7601784932725755</v>
      </c>
      <c r="S74" s="161">
        <f t="shared" si="16"/>
        <v>1.489453413613222</v>
      </c>
      <c r="T74" s="161">
        <f t="shared" si="16"/>
        <v>1.2455701405251771</v>
      </c>
      <c r="U74" s="161">
        <f t="shared" ref="U74:U80" si="17">U61/$U$60</f>
        <v>1.0260266630597972</v>
      </c>
    </row>
    <row r="75" spans="1:21">
      <c r="A75" s="14">
        <v>7.9479491617924891</v>
      </c>
      <c r="B75" s="14">
        <v>0.3719233795238876</v>
      </c>
      <c r="C75" s="14">
        <v>21.369856264392258</v>
      </c>
      <c r="D75" s="14"/>
      <c r="E75" s="14"/>
      <c r="F75" s="14">
        <v>0.74203898626997011</v>
      </c>
      <c r="G75" s="14"/>
      <c r="H75" s="14"/>
      <c r="I75" s="14">
        <v>0.79631748766407751</v>
      </c>
      <c r="J75" s="159"/>
      <c r="K75" s="159"/>
      <c r="L75" s="159"/>
      <c r="M75" s="159"/>
      <c r="N75" s="159"/>
      <c r="O75" s="119" t="s">
        <v>7</v>
      </c>
      <c r="P75" s="126">
        <v>-28</v>
      </c>
      <c r="Q75" s="161">
        <f t="shared" si="16"/>
        <v>2.1662945708747388</v>
      </c>
      <c r="R75" s="161">
        <f t="shared" si="16"/>
        <v>1.8411627621662257</v>
      </c>
      <c r="S75" s="161">
        <f t="shared" si="16"/>
        <v>1.550514502831664</v>
      </c>
      <c r="T75" s="161">
        <f t="shared" si="16"/>
        <v>1.2902360730947717</v>
      </c>
      <c r="U75" s="161">
        <f t="shared" si="17"/>
        <v>1.0571786682860969</v>
      </c>
    </row>
    <row r="76" spans="1:21">
      <c r="A76" s="14">
        <v>4.7878318380820248</v>
      </c>
      <c r="B76" s="14">
        <v>0.59357850212742569</v>
      </c>
      <c r="C76" s="14">
        <v>8.0660465648976682</v>
      </c>
      <c r="D76" s="14">
        <v>0.95303014229325811</v>
      </c>
      <c r="E76" s="14"/>
      <c r="F76" s="14"/>
      <c r="G76" s="14">
        <v>0.96470981083277008</v>
      </c>
      <c r="H76" s="14"/>
      <c r="I76" s="14"/>
      <c r="J76" s="159"/>
      <c r="K76" s="159"/>
      <c r="L76" s="159"/>
      <c r="M76" s="159"/>
      <c r="N76" s="159"/>
      <c r="O76" s="119" t="s">
        <v>8</v>
      </c>
      <c r="P76" s="126">
        <v>-26</v>
      </c>
      <c r="Q76" s="161">
        <f t="shared" si="16"/>
        <v>2.2810638565534136</v>
      </c>
      <c r="R76" s="161">
        <f t="shared" si="16"/>
        <v>1.9301526502338393</v>
      </c>
      <c r="S76" s="161">
        <f t="shared" si="16"/>
        <v>1.6183756911251355</v>
      </c>
      <c r="T76" s="161">
        <f t="shared" si="16"/>
        <v>1.3406790383366207</v>
      </c>
      <c r="U76" s="161">
        <f t="shared" si="17"/>
        <v>1.0932127844114192</v>
      </c>
    </row>
    <row r="77" spans="1:21">
      <c r="A77" s="14">
        <v>6.2233594418684053</v>
      </c>
      <c r="B77" s="14">
        <v>0.59357850212742569</v>
      </c>
      <c r="C77" s="14">
        <v>10.484475801538402</v>
      </c>
      <c r="D77" s="14"/>
      <c r="E77" s="14">
        <v>0.84245899355537046</v>
      </c>
      <c r="F77" s="14"/>
      <c r="G77" s="14"/>
      <c r="H77" s="14">
        <v>0.85426271212492422</v>
      </c>
      <c r="I77" s="14"/>
      <c r="J77" s="159"/>
      <c r="K77" s="159"/>
      <c r="L77" s="159"/>
      <c r="M77" s="159"/>
      <c r="N77" s="159"/>
      <c r="O77" s="119" t="s">
        <v>5</v>
      </c>
      <c r="P77" s="126">
        <v>-24</v>
      </c>
      <c r="Q77" s="161">
        <f t="shared" si="16"/>
        <v>2.4055417648214221</v>
      </c>
      <c r="R77" s="161">
        <f t="shared" si="16"/>
        <v>2.0272422883727357</v>
      </c>
      <c r="S77" s="161">
        <f t="shared" si="16"/>
        <v>1.6930256989833317</v>
      </c>
      <c r="T77" s="161">
        <f t="shared" si="16"/>
        <v>1.3968073886120864</v>
      </c>
      <c r="U77" s="161">
        <f t="shared" si="17"/>
        <v>1.1339779295492991</v>
      </c>
    </row>
    <row r="78" spans="1:21">
      <c r="A78" s="14">
        <v>7.9479491617924891</v>
      </c>
      <c r="B78" s="14">
        <v>0.59357850212742569</v>
      </c>
      <c r="C78" s="14">
        <v>13.389887156132675</v>
      </c>
      <c r="D78" s="14"/>
      <c r="E78" s="14"/>
      <c r="F78" s="14">
        <v>0.73182012025267396</v>
      </c>
      <c r="G78" s="14"/>
      <c r="H78" s="14"/>
      <c r="I78" s="14">
        <v>0.72157565649144995</v>
      </c>
      <c r="J78" s="159"/>
      <c r="K78" s="159"/>
      <c r="L78" s="159"/>
      <c r="M78" s="159"/>
      <c r="N78" s="159"/>
      <c r="O78" s="128"/>
      <c r="P78" s="126">
        <v>-22</v>
      </c>
      <c r="Q78" s="161">
        <f t="shared" si="16"/>
        <v>2.5400194300095436</v>
      </c>
      <c r="R78" s="161">
        <f t="shared" si="16"/>
        <v>2.1325889809581136</v>
      </c>
      <c r="S78" s="161">
        <f t="shared" si="16"/>
        <v>1.7745195627060875</v>
      </c>
      <c r="T78" s="161">
        <f t="shared" si="16"/>
        <v>1.4585984438298483</v>
      </c>
      <c r="U78" s="161">
        <f t="shared" si="17"/>
        <v>1.1793935196890568</v>
      </c>
    </row>
    <row r="79" spans="1:21">
      <c r="A79" s="14">
        <v>4.7878318380820248</v>
      </c>
      <c r="B79" s="14">
        <v>0.90864948863276984</v>
      </c>
      <c r="C79" s="14">
        <v>5.2691735349856383</v>
      </c>
      <c r="D79" s="14">
        <v>0.87619842763603994</v>
      </c>
      <c r="E79" s="14"/>
      <c r="F79" s="14"/>
      <c r="G79" s="14">
        <v>0.93851379315688788</v>
      </c>
      <c r="H79" s="14"/>
      <c r="I79" s="14"/>
      <c r="J79" s="159"/>
      <c r="K79" s="159"/>
      <c r="L79" s="159"/>
      <c r="M79" s="159"/>
      <c r="N79" s="159"/>
      <c r="O79" s="119" t="s">
        <v>9</v>
      </c>
      <c r="P79" s="126">
        <v>-20</v>
      </c>
      <c r="Q79" s="161">
        <f t="shared" si="16"/>
        <v>2.6848418054661245</v>
      </c>
      <c r="R79" s="161">
        <f t="shared" si="16"/>
        <v>2.2464038602001839</v>
      </c>
      <c r="S79" s="161">
        <f t="shared" si="16"/>
        <v>1.8629669578839512</v>
      </c>
      <c r="T79" s="161">
        <f t="shared" si="16"/>
        <v>1.5260848544587002</v>
      </c>
      <c r="U79" s="161">
        <f t="shared" si="17"/>
        <v>1.2294343283584079</v>
      </c>
    </row>
    <row r="80" spans="1:21">
      <c r="A80" s="14">
        <v>6.2233594418684053</v>
      </c>
      <c r="B80" s="14">
        <v>0.90864948863276984</v>
      </c>
      <c r="C80" s="14">
        <v>6.8490210138483576</v>
      </c>
      <c r="D80" s="14"/>
      <c r="E80" s="14">
        <v>0.80414322124020599</v>
      </c>
      <c r="F80" s="14"/>
      <c r="G80" s="14"/>
      <c r="H80" s="14">
        <v>0.8202123863290498</v>
      </c>
      <c r="I80" s="14"/>
      <c r="J80" s="159"/>
      <c r="K80" s="159"/>
      <c r="L80" s="159"/>
      <c r="M80" s="159"/>
      <c r="N80" s="159"/>
      <c r="O80" s="102"/>
      <c r="P80" s="137">
        <v>-18</v>
      </c>
      <c r="Q80" s="162">
        <f t="shared" si="16"/>
        <v>2.8404030700825502</v>
      </c>
      <c r="R80" s="162">
        <f t="shared" si="16"/>
        <v>2.368945300295338</v>
      </c>
      <c r="S80" s="162">
        <f t="shared" si="16"/>
        <v>1.9585238946326156</v>
      </c>
      <c r="T80" s="162">
        <f t="shared" si="16"/>
        <v>1.5993448986170913</v>
      </c>
      <c r="U80" s="162">
        <f t="shared" si="17"/>
        <v>1.2841197487636622</v>
      </c>
    </row>
    <row r="81" spans="1:9">
      <c r="A81" s="14">
        <v>7.9479491617924891</v>
      </c>
      <c r="B81" s="14">
        <v>0.90864948863276984</v>
      </c>
      <c r="C81" s="14">
        <v>8.7469912889640646</v>
      </c>
      <c r="D81" s="14"/>
      <c r="E81" s="14"/>
      <c r="F81" s="14">
        <v>0.73202501175514101</v>
      </c>
      <c r="G81" s="14"/>
      <c r="H81" s="14"/>
      <c r="I81" s="14">
        <v>0.67808945568688417</v>
      </c>
    </row>
    <row r="82" spans="1:9">
      <c r="A82" s="14"/>
      <c r="B82" s="14"/>
      <c r="C82" s="14"/>
      <c r="D82" s="14"/>
      <c r="E82" s="14"/>
      <c r="F82" s="14"/>
      <c r="G82" s="14"/>
      <c r="H82" s="14"/>
      <c r="I82" s="14"/>
    </row>
    <row r="83" spans="1:9">
      <c r="A83" s="14"/>
      <c r="B83" s="14"/>
      <c r="C83" s="14"/>
      <c r="D83" s="14"/>
      <c r="E83" s="14"/>
      <c r="F83" s="14"/>
      <c r="G83" s="14"/>
      <c r="H83" s="14"/>
      <c r="I83" s="14"/>
    </row>
    <row r="84" spans="1:9">
      <c r="A84" s="14"/>
      <c r="B84" s="14"/>
      <c r="C84" s="14"/>
      <c r="D84" s="14"/>
      <c r="E84" s="14"/>
      <c r="F84" s="14"/>
      <c r="G84" s="14"/>
      <c r="H84" s="14"/>
      <c r="I84" s="14"/>
    </row>
    <row r="85" spans="1:9">
      <c r="A85" s="14"/>
      <c r="B85" s="14"/>
      <c r="C85" s="14"/>
      <c r="D85" s="14"/>
      <c r="E85" s="14"/>
      <c r="F85" s="14"/>
      <c r="G85" s="14"/>
      <c r="H85" s="14"/>
      <c r="I85" s="14"/>
    </row>
    <row r="86" spans="1:9">
      <c r="A86" s="14"/>
      <c r="B86" s="14"/>
      <c r="C86" s="14"/>
      <c r="D86" s="14"/>
      <c r="E86" s="14"/>
      <c r="F86" s="14"/>
      <c r="G86" s="14"/>
      <c r="H86" s="14"/>
      <c r="I86" s="14"/>
    </row>
    <row r="87" spans="1:9">
      <c r="A87" s="14"/>
      <c r="B87" s="14"/>
      <c r="C87" s="14"/>
      <c r="D87" s="14"/>
      <c r="E87" s="14"/>
      <c r="F87" s="14"/>
      <c r="G87" s="14"/>
      <c r="H87" s="14"/>
      <c r="I87" s="14"/>
    </row>
    <row r="88" spans="1:9">
      <c r="A88" s="1">
        <v>4.7878318380820248</v>
      </c>
      <c r="B88" s="1">
        <v>1.1086403483853422</v>
      </c>
      <c r="C88" s="1">
        <v>4.3186519821826526</v>
      </c>
      <c r="D88" s="1">
        <v>0.87548918516073793</v>
      </c>
      <c r="G88" s="1">
        <v>0.86845515962791453</v>
      </c>
    </row>
    <row r="89" spans="1:9">
      <c r="A89" s="1">
        <v>6.2233594418684053</v>
      </c>
      <c r="B89" s="1">
        <v>1.1086403483853422</v>
      </c>
      <c r="C89" s="1">
        <v>5.6135061753185305</v>
      </c>
      <c r="D89" s="159"/>
      <c r="E89" s="159">
        <v>0.79285372664203291</v>
      </c>
      <c r="F89" s="159"/>
      <c r="G89" s="159"/>
      <c r="H89" s="159">
        <v>0.79692236588216037</v>
      </c>
      <c r="I89" s="159"/>
    </row>
    <row r="90" spans="1:9" hidden="1">
      <c r="A90" s="1">
        <v>7.9479491617924891</v>
      </c>
      <c r="B90" s="1">
        <v>1.1086403483853422</v>
      </c>
      <c r="C90" s="1">
        <v>7.1690960674199946</v>
      </c>
      <c r="D90" s="159"/>
      <c r="E90" s="159"/>
      <c r="F90" s="159">
        <v>0.70798487686147449</v>
      </c>
      <c r="G90" s="159"/>
      <c r="H90" s="159"/>
      <c r="I90" s="159">
        <v>0.71098551562167944</v>
      </c>
    </row>
    <row r="91" spans="1:9" hidden="1">
      <c r="D91" s="159"/>
      <c r="E91" s="159"/>
      <c r="F91" s="159"/>
      <c r="G91" s="159"/>
      <c r="H91" s="159"/>
      <c r="I91" s="159"/>
    </row>
    <row r="92" spans="1:9" hidden="1">
      <c r="D92" s="159"/>
      <c r="E92" s="159"/>
      <c r="F92" s="159"/>
      <c r="G92" s="159"/>
      <c r="H92" s="159"/>
      <c r="I92" s="159"/>
    </row>
    <row r="93" spans="1:9" hidden="1">
      <c r="D93" s="159"/>
      <c r="E93" s="159"/>
      <c r="F93" s="159"/>
      <c r="G93" s="159"/>
      <c r="H93" s="159"/>
      <c r="I93" s="159"/>
    </row>
    <row r="94" spans="1:9" hidden="1">
      <c r="D94" s="159"/>
      <c r="E94" s="159"/>
      <c r="F94" s="159"/>
      <c r="G94" s="159"/>
      <c r="H94" s="159"/>
      <c r="I94" s="159"/>
    </row>
    <row r="95" spans="1:9" hidden="1">
      <c r="D95" s="159"/>
      <c r="E95" s="159"/>
      <c r="F95" s="159"/>
      <c r="G95" s="159"/>
      <c r="H95" s="159"/>
      <c r="I95" s="159"/>
    </row>
    <row r="96" spans="1:9" hidden="1">
      <c r="D96" s="159"/>
      <c r="E96" s="159"/>
      <c r="F96" s="159"/>
      <c r="G96" s="159"/>
      <c r="H96" s="159"/>
      <c r="I96" s="159"/>
    </row>
    <row r="97" spans="2:17" hidden="1">
      <c r="D97" s="159"/>
      <c r="E97" s="159"/>
      <c r="F97" s="159"/>
      <c r="G97" s="159"/>
      <c r="H97" s="159"/>
      <c r="I97" s="159"/>
    </row>
    <row r="98" spans="2:17" hidden="1">
      <c r="D98" s="159"/>
      <c r="E98" s="159"/>
      <c r="F98" s="159"/>
      <c r="G98" s="159"/>
      <c r="H98" s="159"/>
      <c r="I98" s="159"/>
    </row>
    <row r="99" spans="2:17" hidden="1"/>
    <row r="100" spans="2:17" hidden="1"/>
    <row r="102" spans="2:17" ht="15" thickBot="1">
      <c r="D102" s="1" t="s">
        <v>38</v>
      </c>
      <c r="L102" s="1" t="s">
        <v>37</v>
      </c>
    </row>
    <row r="103" spans="2:17" ht="15" thickBot="1">
      <c r="B103" s="163"/>
      <c r="C103" s="204" t="s">
        <v>20</v>
      </c>
      <c r="D103" s="205"/>
      <c r="E103" s="206"/>
      <c r="F103" s="204" t="s">
        <v>39</v>
      </c>
      <c r="G103" s="205"/>
      <c r="H103" s="206"/>
      <c r="K103" s="163"/>
      <c r="L103" s="204" t="s">
        <v>20</v>
      </c>
      <c r="M103" s="205"/>
      <c r="N103" s="206"/>
      <c r="O103" s="204" t="s">
        <v>40</v>
      </c>
      <c r="P103" s="205"/>
      <c r="Q103" s="206"/>
    </row>
    <row r="104" spans="2:17" ht="15" thickBot="1">
      <c r="B104" s="164"/>
      <c r="C104" s="165">
        <v>35</v>
      </c>
      <c r="D104" s="166">
        <v>45</v>
      </c>
      <c r="E104" s="167">
        <v>55</v>
      </c>
      <c r="F104" s="168">
        <v>35</v>
      </c>
      <c r="G104" s="168">
        <v>45</v>
      </c>
      <c r="H104" s="169">
        <v>55</v>
      </c>
      <c r="K104" s="164"/>
      <c r="L104" s="168">
        <v>40.5</v>
      </c>
      <c r="M104" s="168">
        <v>54.4</v>
      </c>
      <c r="N104" s="169">
        <v>65</v>
      </c>
      <c r="O104" s="165">
        <v>40.5</v>
      </c>
      <c r="P104" s="166">
        <v>54.4</v>
      </c>
      <c r="Q104" s="167">
        <v>65</v>
      </c>
    </row>
    <row r="105" spans="2:17">
      <c r="B105" s="170">
        <v>-35</v>
      </c>
      <c r="C105" s="171">
        <f t="shared" ref="C105:D105" si="18">IF(C27="","",C27)</f>
        <v>49.148218822985378</v>
      </c>
      <c r="D105" s="172">
        <f t="shared" si="18"/>
        <v>44.429355096667656</v>
      </c>
      <c r="E105" s="173">
        <f t="shared" ref="E105" si="19">IF(E27="","",E27)</f>
        <v>38.760286908313113</v>
      </c>
      <c r="F105" s="174">
        <f>IF(C14="","",C14)</f>
        <v>53.328881345434553</v>
      </c>
      <c r="G105" s="175">
        <f t="shared" ref="G105:H109" si="20">IF(D14="","",D14)</f>
        <v>44.725103148353924</v>
      </c>
      <c r="H105" s="176">
        <f t="shared" si="20"/>
        <v>36.118312671177719</v>
      </c>
      <c r="K105" s="170">
        <v>-30</v>
      </c>
      <c r="L105" s="174">
        <f t="shared" ref="L105:N109" si="21">IF(H27="","",H27)</f>
        <v>23.098144708632134</v>
      </c>
      <c r="M105" s="175">
        <f t="shared" si="21"/>
        <v>25.199458967135147</v>
      </c>
      <c r="N105" s="176">
        <f t="shared" si="21"/>
        <v>27.300773225638157</v>
      </c>
      <c r="O105" s="171">
        <f>IF(H14="","",H14)</f>
        <v>22.974852287715816</v>
      </c>
      <c r="P105" s="172">
        <f t="shared" ref="P105:Q109" si="22">IF(I14="","",I14)</f>
        <v>25.269840951940697</v>
      </c>
      <c r="Q105" s="173">
        <f t="shared" si="22"/>
        <v>27.353683661748953</v>
      </c>
    </row>
    <row r="106" spans="2:17">
      <c r="B106" s="177">
        <v>-25</v>
      </c>
      <c r="C106" s="178">
        <f t="shared" ref="C106:D106" si="23">IF(C28="","",C28)</f>
        <v>75.099432226033741</v>
      </c>
      <c r="D106" s="179">
        <f t="shared" si="23"/>
        <v>66.501494990574457</v>
      </c>
      <c r="E106" s="180">
        <f t="shared" ref="E106:E109" si="24">IF(E28="","",E28)</f>
        <v>56.172251491727714</v>
      </c>
      <c r="F106" s="181">
        <f t="shared" ref="F106:F109" si="25">IF(C15="","",C15)</f>
        <v>74.190209093796227</v>
      </c>
      <c r="G106" s="182">
        <f t="shared" si="20"/>
        <v>65.582614978393224</v>
      </c>
      <c r="H106" s="183">
        <f t="shared" si="20"/>
        <v>56.969748732129958</v>
      </c>
      <c r="K106" s="177">
        <v>-20</v>
      </c>
      <c r="L106" s="181">
        <f t="shared" si="21"/>
        <v>29.241039210724985</v>
      </c>
      <c r="M106" s="182">
        <f t="shared" si="21"/>
        <v>33.085435474695657</v>
      </c>
      <c r="N106" s="183">
        <f t="shared" si="21"/>
        <v>36.92983173866633</v>
      </c>
      <c r="O106" s="178">
        <f t="shared" ref="O106:O109" si="26">IF(H15="","",H15)</f>
        <v>29.358355457071273</v>
      </c>
      <c r="P106" s="179">
        <f t="shared" si="22"/>
        <v>33.203208696057622</v>
      </c>
      <c r="Q106" s="180">
        <f t="shared" si="22"/>
        <v>36.694742270957995</v>
      </c>
    </row>
    <row r="107" spans="2:17">
      <c r="B107" s="177">
        <v>-15</v>
      </c>
      <c r="C107" s="178">
        <f t="shared" ref="C107:D107" si="27">IF(C29="","",C29)</f>
        <v>112.198762490871</v>
      </c>
      <c r="D107" s="179">
        <f t="shared" si="27"/>
        <v>98.055900080330318</v>
      </c>
      <c r="E107" s="180">
        <f t="shared" si="24"/>
        <v>81.065188749398146</v>
      </c>
      <c r="F107" s="181">
        <f t="shared" si="25"/>
        <v>104.74899782402751</v>
      </c>
      <c r="G107" s="182">
        <f t="shared" si="20"/>
        <v>96.134841007596592</v>
      </c>
      <c r="H107" s="183">
        <f t="shared" si="20"/>
        <v>87.513152209540692</v>
      </c>
      <c r="K107" s="177">
        <v>-15</v>
      </c>
      <c r="L107" s="181">
        <f t="shared" si="21"/>
        <v>34.862020126813064</v>
      </c>
      <c r="M107" s="182">
        <f t="shared" si="21"/>
        <v>40.4494983962514</v>
      </c>
      <c r="N107" s="183">
        <f t="shared" si="21"/>
        <v>46.036976665689728</v>
      </c>
      <c r="O107" s="178">
        <f t="shared" si="26"/>
        <v>34.6913364693402</v>
      </c>
      <c r="P107" s="179">
        <f t="shared" si="22"/>
        <v>40.614662854169886</v>
      </c>
      <c r="Q107" s="180">
        <f t="shared" si="22"/>
        <v>46.042495865244213</v>
      </c>
    </row>
    <row r="108" spans="2:17">
      <c r="B108" s="177">
        <v>-20</v>
      </c>
      <c r="C108" s="178" t="str">
        <f t="shared" ref="C108:D108" si="28">IF(C30="","",C30)</f>
        <v/>
      </c>
      <c r="D108" s="179" t="str">
        <f t="shared" si="28"/>
        <v/>
      </c>
      <c r="E108" s="180" t="str">
        <f t="shared" si="24"/>
        <v/>
      </c>
      <c r="F108" s="181" t="str">
        <f t="shared" si="25"/>
        <v/>
      </c>
      <c r="G108" s="182" t="str">
        <f t="shared" si="20"/>
        <v/>
      </c>
      <c r="H108" s="183" t="str">
        <f t="shared" si="20"/>
        <v/>
      </c>
      <c r="K108" s="177">
        <v>-10</v>
      </c>
      <c r="L108" s="181" t="str">
        <f t="shared" si="21"/>
        <v/>
      </c>
      <c r="M108" s="182" t="str">
        <f t="shared" si="21"/>
        <v/>
      </c>
      <c r="N108" s="183" t="str">
        <f t="shared" si="21"/>
        <v/>
      </c>
      <c r="O108" s="178" t="str">
        <f t="shared" si="26"/>
        <v/>
      </c>
      <c r="P108" s="179" t="str">
        <f t="shared" si="22"/>
        <v/>
      </c>
      <c r="Q108" s="180" t="str">
        <f t="shared" si="22"/>
        <v/>
      </c>
    </row>
    <row r="109" spans="2:17" ht="15" thickBot="1">
      <c r="B109" s="184">
        <v>-15</v>
      </c>
      <c r="C109" s="185" t="str">
        <f t="shared" ref="C109:D109" si="29">IF(C31="","",C31)</f>
        <v/>
      </c>
      <c r="D109" s="186" t="str">
        <f t="shared" si="29"/>
        <v/>
      </c>
      <c r="E109" s="187" t="str">
        <f t="shared" si="24"/>
        <v/>
      </c>
      <c r="F109" s="188" t="str">
        <f t="shared" si="25"/>
        <v/>
      </c>
      <c r="G109" s="189" t="str">
        <f t="shared" si="20"/>
        <v/>
      </c>
      <c r="H109" s="190" t="str">
        <f t="shared" si="20"/>
        <v/>
      </c>
      <c r="K109" s="184"/>
      <c r="L109" s="188" t="str">
        <f t="shared" si="21"/>
        <v/>
      </c>
      <c r="M109" s="189" t="str">
        <f t="shared" si="21"/>
        <v/>
      </c>
      <c r="N109" s="190" t="str">
        <f t="shared" si="21"/>
        <v/>
      </c>
      <c r="O109" s="185" t="str">
        <f t="shared" si="26"/>
        <v/>
      </c>
      <c r="P109" s="186" t="str">
        <f t="shared" si="22"/>
        <v/>
      </c>
      <c r="Q109" s="187" t="str">
        <f t="shared" si="22"/>
        <v/>
      </c>
    </row>
    <row r="110" spans="2:17">
      <c r="B110" s="154">
        <v>-10</v>
      </c>
      <c r="C110" s="45"/>
      <c r="D110" s="45"/>
      <c r="E110" s="45"/>
    </row>
  </sheetData>
  <mergeCells count="47">
    <mergeCell ref="R6:S6"/>
    <mergeCell ref="R7:S7"/>
    <mergeCell ref="R8:S8"/>
    <mergeCell ref="O103:Q103"/>
    <mergeCell ref="Q70:U70"/>
    <mergeCell ref="Q71:U71"/>
    <mergeCell ref="Q11:U11"/>
    <mergeCell ref="Q41:U41"/>
    <mergeCell ref="Q40:U40"/>
    <mergeCell ref="Q57:U57"/>
    <mergeCell ref="Q58:U58"/>
    <mergeCell ref="D3:E3"/>
    <mergeCell ref="R4:S4"/>
    <mergeCell ref="F24:J24"/>
    <mergeCell ref="C41:G41"/>
    <mergeCell ref="D71:F71"/>
    <mergeCell ref="G71:I71"/>
    <mergeCell ref="K11:O11"/>
    <mergeCell ref="J58:N58"/>
    <mergeCell ref="K24:O24"/>
    <mergeCell ref="A11:E11"/>
    <mergeCell ref="F11:J11"/>
    <mergeCell ref="C57:G57"/>
    <mergeCell ref="A24:E24"/>
    <mergeCell ref="J70:N70"/>
    <mergeCell ref="J71:N71"/>
    <mergeCell ref="R5:S5"/>
    <mergeCell ref="J57:N57"/>
    <mergeCell ref="I41:M41"/>
    <mergeCell ref="I40:N40"/>
    <mergeCell ref="C103:E103"/>
    <mergeCell ref="F103:H103"/>
    <mergeCell ref="D70:F70"/>
    <mergeCell ref="G70:I70"/>
    <mergeCell ref="L103:N103"/>
    <mergeCell ref="B4:C4"/>
    <mergeCell ref="C58:G58"/>
    <mergeCell ref="C40:G40"/>
    <mergeCell ref="A14:A19"/>
    <mergeCell ref="F14:F19"/>
    <mergeCell ref="K14:K19"/>
    <mergeCell ref="Q14:Q19"/>
    <mergeCell ref="A27:A32"/>
    <mergeCell ref="F27:F32"/>
    <mergeCell ref="K27:K32"/>
    <mergeCell ref="Q24:U24"/>
    <mergeCell ref="Q27:Q32"/>
  </mergeCells>
  <phoneticPr fontId="2"/>
  <printOptions gridLinesSet="0"/>
  <pageMargins left="0.47" right="0.28000000000000003" top="0.69" bottom="0.42" header="0.38" footer="0.21"/>
  <pageSetup paperSize="9" scale="72" orientation="landscape" horizontalDpi="4294967292" r:id="rId1"/>
  <headerFooter alignWithMargins="0">
    <oddFooter>&amp;C- &amp;P / &amp;N -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Line="0" autoPict="0" macro="[0]!Record2">
                <anchor moveWithCells="1" sizeWithCells="1">
                  <from>
                    <xdr:col>5</xdr:col>
                    <xdr:colOff>91440</xdr:colOff>
                    <xdr:row>7</xdr:row>
                    <xdr:rowOff>45720</xdr:rowOff>
                  </from>
                  <to>
                    <xdr:col>6</xdr:col>
                    <xdr:colOff>579120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topLeftCell="A27" workbookViewId="0">
      <selection activeCell="H35" sqref="H35"/>
    </sheetView>
    <sheetView workbookViewId="1"/>
  </sheetViews>
  <sheetFormatPr defaultRowHeight="13.2"/>
  <sheetData/>
  <phoneticPr fontId="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11</vt:i4>
      </vt:variant>
    </vt:vector>
  </HeadingPairs>
  <TitlesOfParts>
    <vt:vector size="18" baseType="lpstr">
      <vt:lpstr>Sheet6</vt:lpstr>
      <vt:lpstr>Collect</vt:lpstr>
      <vt:lpstr>DATA 4320</vt:lpstr>
      <vt:lpstr>DATA 3000</vt:lpstr>
      <vt:lpstr>DATA 1620</vt:lpstr>
      <vt:lpstr>DATA 1320</vt:lpstr>
      <vt:lpstr>Sheet1</vt:lpstr>
      <vt:lpstr>Volumetric efficiency</vt:lpstr>
      <vt:lpstr>Chart2</vt:lpstr>
      <vt:lpstr>Chart1</vt:lpstr>
      <vt:lpstr>Cooling capacity</vt:lpstr>
      <vt:lpstr>Input</vt:lpstr>
      <vt:lpstr>入力Ｗ</vt:lpstr>
      <vt:lpstr>冷凍能力</vt:lpstr>
      <vt:lpstr>COP</vt:lpstr>
      <vt:lpstr>冷蔵庫条件冷凍能力</vt:lpstr>
      <vt:lpstr>冷蔵庫条件COP</vt:lpstr>
      <vt:lpstr>冷蔵庫条件ＣＯＰ　比較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シャープ(株)</dc:creator>
  <cp:lastModifiedBy>Office</cp:lastModifiedBy>
  <cp:lastPrinted>2010-03-09T11:32:41Z</cp:lastPrinted>
  <dcterms:created xsi:type="dcterms:W3CDTF">1997-11-22T08:36:05Z</dcterms:created>
  <dcterms:modified xsi:type="dcterms:W3CDTF">2026-07-14T08:28:39Z</dcterms:modified>
</cp:coreProperties>
</file>