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6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abdel203\Desktop\"/>
    </mc:Choice>
  </mc:AlternateContent>
  <xr:revisionPtr revIDLastSave="0" documentId="8_{FB619789-8358-4A7F-B285-CDF4F4041277}" xr6:coauthVersionLast="36" xr6:coauthVersionMax="36" xr10:uidLastSave="{00000000-0000-0000-0000-000000000000}"/>
  <bookViews>
    <workbookView xWindow="-108" yWindow="-108" windowWidth="23256" windowHeight="12576" firstSheet="1" activeTab="4" xr2:uid="{00000000-000D-0000-FFFF-FFFF00000000}"/>
  </bookViews>
  <sheets>
    <sheet name="变更记录" sheetId="1" state="hidden" r:id="rId1"/>
    <sheet name="DZ90A1X 4320" sheetId="3" r:id="rId2"/>
    <sheet name="DZ90A1X 3000" sheetId="2" r:id="rId3"/>
    <sheet name="DZ90A1X 1620" sheetId="4" r:id="rId4"/>
    <sheet name="DZ90A1X 1320" sheetId="5" r:id="rId5"/>
  </sheets>
  <definedNames>
    <definedName name="_Hlk206224298" localSheetId="1">'DZ90A1X 4320'!#REF!</definedName>
    <definedName name="_Hlk486959462" localSheetId="1">'DZ90A1X 4320'!#REF!</definedName>
    <definedName name="_Hlk486959827" localSheetId="1">'DZ90A1X 4320'!#REF!</definedName>
    <definedName name="_Hlk486960099" localSheetId="1">'DZ90A1X 4320'!#REF!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8" i="3" l="1"/>
  <c r="F78" i="3" s="1"/>
  <c r="F67" i="2"/>
  <c r="F67" i="4"/>
  <c r="F67" i="5"/>
  <c r="D67" i="2" l="1"/>
  <c r="D6" i="5" l="1"/>
  <c r="H6" i="5" s="1"/>
  <c r="E6" i="5"/>
  <c r="I6" i="5" s="1"/>
  <c r="G6" i="5"/>
  <c r="D7" i="5"/>
  <c r="H7" i="5" s="1"/>
  <c r="E7" i="5"/>
  <c r="I7" i="5" s="1"/>
  <c r="G7" i="5"/>
  <c r="D8" i="5"/>
  <c r="H8" i="5" s="1"/>
  <c r="E8" i="5"/>
  <c r="I8" i="5" s="1"/>
  <c r="G8" i="5"/>
  <c r="D9" i="5"/>
  <c r="H9" i="5" s="1"/>
  <c r="E9" i="5"/>
  <c r="I9" i="5" s="1"/>
  <c r="G9" i="5"/>
  <c r="D10" i="5"/>
  <c r="H10" i="5" s="1"/>
  <c r="E10" i="5"/>
  <c r="I10" i="5" s="1"/>
  <c r="G10" i="5"/>
  <c r="D11" i="5"/>
  <c r="H11" i="5" s="1"/>
  <c r="E11" i="5"/>
  <c r="I11" i="5" s="1"/>
  <c r="G11" i="5"/>
  <c r="H67" i="5"/>
  <c r="E67" i="5"/>
  <c r="D67" i="5"/>
  <c r="G59" i="5"/>
  <c r="E59" i="5"/>
  <c r="I59" i="5" s="1"/>
  <c r="D59" i="5"/>
  <c r="H59" i="5" s="1"/>
  <c r="G58" i="5"/>
  <c r="E58" i="5"/>
  <c r="I58" i="5" s="1"/>
  <c r="D58" i="5"/>
  <c r="H58" i="5" s="1"/>
  <c r="G57" i="5"/>
  <c r="E57" i="5"/>
  <c r="I57" i="5" s="1"/>
  <c r="D57" i="5"/>
  <c r="H57" i="5" s="1"/>
  <c r="G56" i="5"/>
  <c r="E56" i="5"/>
  <c r="I56" i="5" s="1"/>
  <c r="D56" i="5"/>
  <c r="H56" i="5" s="1"/>
  <c r="G55" i="5"/>
  <c r="E55" i="5"/>
  <c r="I55" i="5" s="1"/>
  <c r="D55" i="5"/>
  <c r="H55" i="5" s="1"/>
  <c r="G54" i="5"/>
  <c r="E54" i="5"/>
  <c r="I54" i="5" s="1"/>
  <c r="D54" i="5"/>
  <c r="H54" i="5" s="1"/>
  <c r="G47" i="5"/>
  <c r="E47" i="5"/>
  <c r="I47" i="5" s="1"/>
  <c r="D47" i="5"/>
  <c r="H47" i="5" s="1"/>
  <c r="G46" i="5"/>
  <c r="E46" i="5"/>
  <c r="I46" i="5" s="1"/>
  <c r="D46" i="5"/>
  <c r="H46" i="5" s="1"/>
  <c r="G45" i="5"/>
  <c r="E45" i="5"/>
  <c r="I45" i="5" s="1"/>
  <c r="D45" i="5"/>
  <c r="H45" i="5" s="1"/>
  <c r="G44" i="5"/>
  <c r="E44" i="5"/>
  <c r="I44" i="5" s="1"/>
  <c r="D44" i="5"/>
  <c r="H44" i="5" s="1"/>
  <c r="G43" i="5"/>
  <c r="E43" i="5"/>
  <c r="I43" i="5" s="1"/>
  <c r="D43" i="5"/>
  <c r="H43" i="5" s="1"/>
  <c r="G42" i="5"/>
  <c r="E42" i="5"/>
  <c r="I42" i="5" s="1"/>
  <c r="D42" i="5"/>
  <c r="H42" i="5" s="1"/>
  <c r="G35" i="5"/>
  <c r="E35" i="5"/>
  <c r="I35" i="5" s="1"/>
  <c r="D35" i="5"/>
  <c r="H35" i="5" s="1"/>
  <c r="G34" i="5"/>
  <c r="E34" i="5"/>
  <c r="I34" i="5" s="1"/>
  <c r="D34" i="5"/>
  <c r="H34" i="5" s="1"/>
  <c r="G33" i="5"/>
  <c r="E33" i="5"/>
  <c r="I33" i="5" s="1"/>
  <c r="D33" i="5"/>
  <c r="H33" i="5" s="1"/>
  <c r="G32" i="5"/>
  <c r="E32" i="5"/>
  <c r="I32" i="5" s="1"/>
  <c r="D32" i="5"/>
  <c r="H32" i="5" s="1"/>
  <c r="G31" i="5"/>
  <c r="E31" i="5"/>
  <c r="I31" i="5" s="1"/>
  <c r="D31" i="5"/>
  <c r="H31" i="5" s="1"/>
  <c r="G30" i="5"/>
  <c r="E30" i="5"/>
  <c r="I30" i="5" s="1"/>
  <c r="D30" i="5"/>
  <c r="H30" i="5" s="1"/>
  <c r="G23" i="5"/>
  <c r="E23" i="5"/>
  <c r="I23" i="5" s="1"/>
  <c r="D23" i="5"/>
  <c r="H23" i="5" s="1"/>
  <c r="G22" i="5"/>
  <c r="E22" i="5"/>
  <c r="I22" i="5" s="1"/>
  <c r="D22" i="5"/>
  <c r="H22" i="5" s="1"/>
  <c r="G21" i="5"/>
  <c r="E21" i="5"/>
  <c r="I21" i="5" s="1"/>
  <c r="D21" i="5"/>
  <c r="H21" i="5" s="1"/>
  <c r="G20" i="5"/>
  <c r="E20" i="5"/>
  <c r="I20" i="5" s="1"/>
  <c r="D20" i="5"/>
  <c r="H20" i="5" s="1"/>
  <c r="G19" i="5"/>
  <c r="E19" i="5"/>
  <c r="I19" i="5" s="1"/>
  <c r="D19" i="5"/>
  <c r="H19" i="5" s="1"/>
  <c r="G18" i="5"/>
  <c r="E18" i="5"/>
  <c r="I18" i="5" s="1"/>
  <c r="D18" i="5"/>
  <c r="H18" i="5" s="1"/>
  <c r="I67" i="5" l="1"/>
  <c r="H67" i="4"/>
  <c r="E67" i="4"/>
  <c r="D67" i="4"/>
  <c r="H78" i="3"/>
  <c r="E78" i="3"/>
  <c r="D78" i="3"/>
  <c r="H67" i="2"/>
  <c r="E67" i="2"/>
  <c r="I67" i="4" l="1"/>
  <c r="I67" i="2"/>
  <c r="I78" i="3"/>
  <c r="G59" i="4" l="1"/>
  <c r="E59" i="4"/>
  <c r="I59" i="4" s="1"/>
  <c r="D59" i="4"/>
  <c r="H59" i="4" s="1"/>
  <c r="G58" i="4"/>
  <c r="E58" i="4"/>
  <c r="I58" i="4" s="1"/>
  <c r="D58" i="4"/>
  <c r="H58" i="4" s="1"/>
  <c r="G57" i="4"/>
  <c r="E57" i="4"/>
  <c r="I57" i="4" s="1"/>
  <c r="D57" i="4"/>
  <c r="H57" i="4" s="1"/>
  <c r="G56" i="4"/>
  <c r="E56" i="4"/>
  <c r="I56" i="4" s="1"/>
  <c r="D56" i="4"/>
  <c r="H56" i="4" s="1"/>
  <c r="G55" i="4"/>
  <c r="E55" i="4"/>
  <c r="I55" i="4" s="1"/>
  <c r="D55" i="4"/>
  <c r="H55" i="4" s="1"/>
  <c r="G54" i="4"/>
  <c r="E54" i="4"/>
  <c r="I54" i="4" s="1"/>
  <c r="D54" i="4"/>
  <c r="H54" i="4" s="1"/>
  <c r="G47" i="4"/>
  <c r="E47" i="4"/>
  <c r="I47" i="4" s="1"/>
  <c r="D47" i="4"/>
  <c r="H47" i="4" s="1"/>
  <c r="G46" i="4"/>
  <c r="E46" i="4"/>
  <c r="I46" i="4" s="1"/>
  <c r="D46" i="4"/>
  <c r="H46" i="4" s="1"/>
  <c r="G45" i="4"/>
  <c r="E45" i="4"/>
  <c r="I45" i="4" s="1"/>
  <c r="D45" i="4"/>
  <c r="H45" i="4" s="1"/>
  <c r="G44" i="4"/>
  <c r="E44" i="4"/>
  <c r="I44" i="4" s="1"/>
  <c r="D44" i="4"/>
  <c r="H44" i="4" s="1"/>
  <c r="G43" i="4"/>
  <c r="E43" i="4"/>
  <c r="I43" i="4" s="1"/>
  <c r="D43" i="4"/>
  <c r="H43" i="4" s="1"/>
  <c r="G42" i="4"/>
  <c r="E42" i="4"/>
  <c r="I42" i="4" s="1"/>
  <c r="D42" i="4"/>
  <c r="H42" i="4" s="1"/>
  <c r="G35" i="4"/>
  <c r="E35" i="4"/>
  <c r="I35" i="4" s="1"/>
  <c r="D35" i="4"/>
  <c r="H35" i="4" s="1"/>
  <c r="G34" i="4"/>
  <c r="E34" i="4"/>
  <c r="I34" i="4" s="1"/>
  <c r="D34" i="4"/>
  <c r="H34" i="4" s="1"/>
  <c r="G33" i="4"/>
  <c r="E33" i="4"/>
  <c r="I33" i="4" s="1"/>
  <c r="D33" i="4"/>
  <c r="H33" i="4" s="1"/>
  <c r="G32" i="4"/>
  <c r="E32" i="4"/>
  <c r="I32" i="4" s="1"/>
  <c r="D32" i="4"/>
  <c r="H32" i="4" s="1"/>
  <c r="G31" i="4"/>
  <c r="E31" i="4"/>
  <c r="I31" i="4" s="1"/>
  <c r="D31" i="4"/>
  <c r="H31" i="4" s="1"/>
  <c r="G30" i="4"/>
  <c r="E30" i="4"/>
  <c r="I30" i="4" s="1"/>
  <c r="D30" i="4"/>
  <c r="H30" i="4" s="1"/>
  <c r="G23" i="4"/>
  <c r="E23" i="4"/>
  <c r="I23" i="4" s="1"/>
  <c r="D23" i="4"/>
  <c r="H23" i="4" s="1"/>
  <c r="G22" i="4"/>
  <c r="E22" i="4"/>
  <c r="I22" i="4" s="1"/>
  <c r="D22" i="4"/>
  <c r="H22" i="4" s="1"/>
  <c r="G21" i="4"/>
  <c r="E21" i="4"/>
  <c r="I21" i="4" s="1"/>
  <c r="D21" i="4"/>
  <c r="H21" i="4" s="1"/>
  <c r="G20" i="4"/>
  <c r="E20" i="4"/>
  <c r="I20" i="4" s="1"/>
  <c r="D20" i="4"/>
  <c r="H20" i="4" s="1"/>
  <c r="G19" i="4"/>
  <c r="E19" i="4"/>
  <c r="I19" i="4" s="1"/>
  <c r="D19" i="4"/>
  <c r="H19" i="4" s="1"/>
  <c r="G18" i="4"/>
  <c r="E18" i="4"/>
  <c r="I18" i="4" s="1"/>
  <c r="D18" i="4"/>
  <c r="H18" i="4" s="1"/>
  <c r="G11" i="4"/>
  <c r="E11" i="4"/>
  <c r="I11" i="4" s="1"/>
  <c r="D11" i="4"/>
  <c r="H11" i="4" s="1"/>
  <c r="G10" i="4"/>
  <c r="E10" i="4"/>
  <c r="I10" i="4" s="1"/>
  <c r="D10" i="4"/>
  <c r="H10" i="4" s="1"/>
  <c r="G9" i="4"/>
  <c r="E9" i="4"/>
  <c r="I9" i="4" s="1"/>
  <c r="D9" i="4"/>
  <c r="H9" i="4" s="1"/>
  <c r="G8" i="4"/>
  <c r="E8" i="4"/>
  <c r="I8" i="4" s="1"/>
  <c r="D8" i="4"/>
  <c r="H8" i="4" s="1"/>
  <c r="G7" i="4"/>
  <c r="E7" i="4"/>
  <c r="I7" i="4" s="1"/>
  <c r="D7" i="4"/>
  <c r="H7" i="4" s="1"/>
  <c r="G6" i="4"/>
  <c r="E6" i="4"/>
  <c r="I6" i="4" s="1"/>
  <c r="D6" i="4"/>
  <c r="H6" i="4" s="1"/>
  <c r="G59" i="2"/>
  <c r="E59" i="2"/>
  <c r="I59" i="2" s="1"/>
  <c r="D59" i="2"/>
  <c r="H59" i="2" s="1"/>
  <c r="G58" i="2"/>
  <c r="E58" i="2"/>
  <c r="I58" i="2" s="1"/>
  <c r="D58" i="2"/>
  <c r="H58" i="2" s="1"/>
  <c r="G57" i="2"/>
  <c r="E57" i="2"/>
  <c r="I57" i="2" s="1"/>
  <c r="D57" i="2"/>
  <c r="H57" i="2" s="1"/>
  <c r="G56" i="2"/>
  <c r="E56" i="2"/>
  <c r="I56" i="2" s="1"/>
  <c r="D56" i="2"/>
  <c r="H56" i="2" s="1"/>
  <c r="G55" i="2"/>
  <c r="E55" i="2"/>
  <c r="I55" i="2" s="1"/>
  <c r="D55" i="2"/>
  <c r="H55" i="2" s="1"/>
  <c r="G54" i="2"/>
  <c r="E54" i="2"/>
  <c r="I54" i="2" s="1"/>
  <c r="D54" i="2"/>
  <c r="H54" i="2" s="1"/>
  <c r="G47" i="2"/>
  <c r="E47" i="2"/>
  <c r="I47" i="2" s="1"/>
  <c r="D47" i="2"/>
  <c r="H47" i="2" s="1"/>
  <c r="G46" i="2"/>
  <c r="E46" i="2"/>
  <c r="I46" i="2" s="1"/>
  <c r="D46" i="2"/>
  <c r="H46" i="2" s="1"/>
  <c r="G45" i="2"/>
  <c r="E45" i="2"/>
  <c r="I45" i="2" s="1"/>
  <c r="D45" i="2"/>
  <c r="H45" i="2" s="1"/>
  <c r="G44" i="2"/>
  <c r="E44" i="2"/>
  <c r="I44" i="2" s="1"/>
  <c r="D44" i="2"/>
  <c r="H44" i="2" s="1"/>
  <c r="G43" i="2"/>
  <c r="E43" i="2"/>
  <c r="I43" i="2" s="1"/>
  <c r="D43" i="2"/>
  <c r="H43" i="2" s="1"/>
  <c r="G42" i="2"/>
  <c r="E42" i="2"/>
  <c r="I42" i="2" s="1"/>
  <c r="D42" i="2"/>
  <c r="H42" i="2" s="1"/>
  <c r="G35" i="2"/>
  <c r="E35" i="2"/>
  <c r="I35" i="2" s="1"/>
  <c r="D35" i="2"/>
  <c r="H35" i="2" s="1"/>
  <c r="G34" i="2"/>
  <c r="E34" i="2"/>
  <c r="I34" i="2" s="1"/>
  <c r="D34" i="2"/>
  <c r="H34" i="2" s="1"/>
  <c r="G33" i="2"/>
  <c r="E33" i="2"/>
  <c r="I33" i="2" s="1"/>
  <c r="D33" i="2"/>
  <c r="H33" i="2" s="1"/>
  <c r="G32" i="2"/>
  <c r="E32" i="2"/>
  <c r="I32" i="2" s="1"/>
  <c r="D32" i="2"/>
  <c r="H32" i="2" s="1"/>
  <c r="G31" i="2"/>
  <c r="E31" i="2"/>
  <c r="I31" i="2" s="1"/>
  <c r="D31" i="2"/>
  <c r="H31" i="2" s="1"/>
  <c r="G30" i="2"/>
  <c r="E30" i="2"/>
  <c r="I30" i="2" s="1"/>
  <c r="D30" i="2"/>
  <c r="H30" i="2" s="1"/>
  <c r="G23" i="2"/>
  <c r="E23" i="2"/>
  <c r="I23" i="2" s="1"/>
  <c r="D23" i="2"/>
  <c r="H23" i="2" s="1"/>
  <c r="G22" i="2"/>
  <c r="E22" i="2"/>
  <c r="I22" i="2" s="1"/>
  <c r="D22" i="2"/>
  <c r="H22" i="2" s="1"/>
  <c r="G21" i="2"/>
  <c r="E21" i="2"/>
  <c r="I21" i="2" s="1"/>
  <c r="D21" i="2"/>
  <c r="H21" i="2" s="1"/>
  <c r="G20" i="2"/>
  <c r="E20" i="2"/>
  <c r="I20" i="2" s="1"/>
  <c r="D20" i="2"/>
  <c r="H20" i="2" s="1"/>
  <c r="G19" i="2"/>
  <c r="E19" i="2"/>
  <c r="I19" i="2" s="1"/>
  <c r="D19" i="2"/>
  <c r="H19" i="2" s="1"/>
  <c r="G18" i="2"/>
  <c r="E18" i="2"/>
  <c r="I18" i="2" s="1"/>
  <c r="D18" i="2"/>
  <c r="H18" i="2" s="1"/>
  <c r="G11" i="2"/>
  <c r="E11" i="2"/>
  <c r="I11" i="2" s="1"/>
  <c r="D11" i="2"/>
  <c r="H11" i="2" s="1"/>
  <c r="G10" i="2"/>
  <c r="E10" i="2"/>
  <c r="I10" i="2" s="1"/>
  <c r="D10" i="2"/>
  <c r="H10" i="2" s="1"/>
  <c r="G9" i="2"/>
  <c r="E9" i="2"/>
  <c r="I9" i="2" s="1"/>
  <c r="D9" i="2"/>
  <c r="H9" i="2" s="1"/>
  <c r="G8" i="2"/>
  <c r="E8" i="2"/>
  <c r="I8" i="2" s="1"/>
  <c r="D8" i="2"/>
  <c r="H8" i="2" s="1"/>
  <c r="G7" i="2"/>
  <c r="E7" i="2"/>
  <c r="I7" i="2" s="1"/>
  <c r="D7" i="2"/>
  <c r="H7" i="2" s="1"/>
  <c r="G6" i="2"/>
  <c r="E6" i="2"/>
  <c r="I6" i="2" s="1"/>
  <c r="D6" i="2"/>
  <c r="H6" i="2" s="1"/>
  <c r="G70" i="3" l="1"/>
  <c r="E70" i="3"/>
  <c r="I70" i="3" s="1"/>
  <c r="D70" i="3"/>
  <c r="H70" i="3" s="1"/>
  <c r="G69" i="3"/>
  <c r="E69" i="3"/>
  <c r="I69" i="3" s="1"/>
  <c r="D69" i="3"/>
  <c r="H69" i="3" s="1"/>
  <c r="G68" i="3"/>
  <c r="E68" i="3"/>
  <c r="I68" i="3" s="1"/>
  <c r="D68" i="3"/>
  <c r="H68" i="3" s="1"/>
  <c r="G67" i="3"/>
  <c r="E67" i="3"/>
  <c r="I67" i="3" s="1"/>
  <c r="D67" i="3"/>
  <c r="H67" i="3" s="1"/>
  <c r="G66" i="3"/>
  <c r="E66" i="3"/>
  <c r="I66" i="3" s="1"/>
  <c r="D66" i="3"/>
  <c r="H66" i="3" s="1"/>
  <c r="G65" i="3"/>
  <c r="E65" i="3"/>
  <c r="I65" i="3" s="1"/>
  <c r="D65" i="3"/>
  <c r="H65" i="3" s="1"/>
  <c r="G58" i="3"/>
  <c r="E58" i="3"/>
  <c r="I58" i="3" s="1"/>
  <c r="D58" i="3"/>
  <c r="H58" i="3" s="1"/>
  <c r="G57" i="3"/>
  <c r="E57" i="3"/>
  <c r="I57" i="3" s="1"/>
  <c r="D57" i="3"/>
  <c r="H57" i="3" s="1"/>
  <c r="G56" i="3"/>
  <c r="E56" i="3"/>
  <c r="I56" i="3" s="1"/>
  <c r="D56" i="3"/>
  <c r="H56" i="3" s="1"/>
  <c r="G55" i="3"/>
  <c r="E55" i="3"/>
  <c r="I55" i="3" s="1"/>
  <c r="D55" i="3"/>
  <c r="H55" i="3" s="1"/>
  <c r="G54" i="3"/>
  <c r="E54" i="3"/>
  <c r="I54" i="3" s="1"/>
  <c r="D54" i="3"/>
  <c r="H54" i="3" s="1"/>
  <c r="G53" i="3"/>
  <c r="E53" i="3"/>
  <c r="I53" i="3" s="1"/>
  <c r="D53" i="3"/>
  <c r="H53" i="3" s="1"/>
  <c r="G46" i="3"/>
  <c r="E46" i="3"/>
  <c r="I46" i="3" s="1"/>
  <c r="D46" i="3"/>
  <c r="H46" i="3" s="1"/>
  <c r="G45" i="3"/>
  <c r="E45" i="3"/>
  <c r="I45" i="3" s="1"/>
  <c r="D45" i="3"/>
  <c r="H45" i="3" s="1"/>
  <c r="G44" i="3"/>
  <c r="E44" i="3"/>
  <c r="I44" i="3" s="1"/>
  <c r="D44" i="3"/>
  <c r="H44" i="3" s="1"/>
  <c r="G43" i="3"/>
  <c r="E43" i="3"/>
  <c r="I43" i="3" s="1"/>
  <c r="D43" i="3"/>
  <c r="H43" i="3" s="1"/>
  <c r="G42" i="3"/>
  <c r="E42" i="3"/>
  <c r="I42" i="3" s="1"/>
  <c r="D42" i="3"/>
  <c r="H42" i="3" s="1"/>
  <c r="G41" i="3"/>
  <c r="E41" i="3"/>
  <c r="I41" i="3" s="1"/>
  <c r="D41" i="3"/>
  <c r="H41" i="3" s="1"/>
  <c r="G34" i="3"/>
  <c r="E34" i="3"/>
  <c r="I34" i="3" s="1"/>
  <c r="D34" i="3"/>
  <c r="H34" i="3" s="1"/>
  <c r="G33" i="3"/>
  <c r="E33" i="3"/>
  <c r="I33" i="3" s="1"/>
  <c r="D33" i="3"/>
  <c r="H33" i="3" s="1"/>
  <c r="G32" i="3"/>
  <c r="E32" i="3"/>
  <c r="I32" i="3" s="1"/>
  <c r="D32" i="3"/>
  <c r="H32" i="3" s="1"/>
  <c r="G31" i="3"/>
  <c r="E31" i="3"/>
  <c r="I31" i="3" s="1"/>
  <c r="D31" i="3"/>
  <c r="H31" i="3" s="1"/>
  <c r="G30" i="3"/>
  <c r="E30" i="3"/>
  <c r="I30" i="3" s="1"/>
  <c r="D30" i="3"/>
  <c r="H30" i="3" s="1"/>
  <c r="G29" i="3"/>
  <c r="E29" i="3"/>
  <c r="I29" i="3" s="1"/>
  <c r="D29" i="3"/>
  <c r="H29" i="3" s="1"/>
  <c r="G21" i="3"/>
  <c r="G22" i="3"/>
  <c r="G18" i="3"/>
  <c r="G19" i="3"/>
  <c r="G20" i="3"/>
  <c r="G17" i="3"/>
  <c r="E18" i="3"/>
  <c r="I18" i="3" s="1"/>
  <c r="E19" i="3"/>
  <c r="I19" i="3" s="1"/>
  <c r="E20" i="3"/>
  <c r="I20" i="3" s="1"/>
  <c r="E21" i="3"/>
  <c r="I21" i="3" s="1"/>
  <c r="E22" i="3"/>
  <c r="I22" i="3" s="1"/>
  <c r="D18" i="3"/>
  <c r="H18" i="3" s="1"/>
  <c r="D19" i="3"/>
  <c r="H19" i="3" s="1"/>
  <c r="D20" i="3"/>
  <c r="H20" i="3" s="1"/>
  <c r="D21" i="3"/>
  <c r="H21" i="3" s="1"/>
  <c r="D22" i="3"/>
  <c r="H22" i="3" s="1"/>
  <c r="E17" i="3"/>
  <c r="I17" i="3" s="1"/>
  <c r="D17" i="3"/>
  <c r="H17" i="3" s="1"/>
</calcChain>
</file>

<file path=xl/sharedStrings.xml><?xml version="1.0" encoding="utf-8"?>
<sst xmlns="http://schemas.openxmlformats.org/spreadsheetml/2006/main" count="448" uniqueCount="74">
  <si>
    <t>规格书变更记录表</t>
  </si>
  <si>
    <t>客户</t>
  </si>
  <si>
    <t>变更后机型</t>
  </si>
  <si>
    <t>变更后编号</t>
  </si>
  <si>
    <t>变更前机型</t>
  </si>
  <si>
    <t>变更前编号</t>
  </si>
  <si>
    <t>变更日期</t>
  </si>
  <si>
    <t>备注</t>
  </si>
  <si>
    <t>美的</t>
  </si>
  <si>
    <t>DZ90V1A-4QPL</t>
  </si>
  <si>
    <t>YJ-MDB008H</t>
  </si>
  <si>
    <t>外形图、端子罩、箍带、防振衬套图纸切换</t>
  </si>
  <si>
    <t>Compressor data sheet</t>
  </si>
  <si>
    <t>1. Compressor type</t>
  </si>
  <si>
    <t>Evaporating</t>
  </si>
  <si>
    <t>Capacity</t>
  </si>
  <si>
    <t>Input power</t>
  </si>
  <si>
    <t>Effciency</t>
  </si>
  <si>
    <t>[W]</t>
  </si>
  <si>
    <t>[BTU/h]</t>
  </si>
  <si>
    <t>[Kcal/h]</t>
  </si>
  <si>
    <t>[W/W]</t>
  </si>
  <si>
    <t>[BTU/Wh]</t>
  </si>
  <si>
    <t>[Kcal/Wh]</t>
  </si>
  <si>
    <t xml:space="preserve">   </t>
  </si>
  <si>
    <t>℃</t>
  </si>
  <si>
    <r>
      <rPr>
        <b/>
        <sz val="12"/>
        <color rgb="FF000000"/>
        <rFont val="Calibri"/>
        <family val="2"/>
      </rPr>
      <t>Remark:</t>
    </r>
    <r>
      <rPr>
        <sz val="12"/>
        <color rgb="FF000000"/>
        <rFont val="Calibri"/>
        <family val="2"/>
      </rPr>
      <t xml:space="preserve"> Above curve data only for reference not IQC items</t>
    </r>
  </si>
  <si>
    <t>Model</t>
    <phoneticPr fontId="12" type="noConversion"/>
  </si>
  <si>
    <t>Rated voltage V/Hz</t>
    <phoneticPr fontId="11" type="noConversion"/>
  </si>
  <si>
    <t>Refrigerant</t>
    <phoneticPr fontId="11" type="noConversion"/>
  </si>
  <si>
    <t>R600a</t>
    <phoneticPr fontId="12" type="noConversion"/>
  </si>
  <si>
    <t>Cylinder volume(cm³)</t>
    <phoneticPr fontId="11" type="noConversion"/>
  </si>
  <si>
    <t>Pressure type</t>
    <phoneticPr fontId="11" type="noConversion"/>
  </si>
  <si>
    <t>LBP</t>
    <phoneticPr fontId="12" type="noConversion"/>
  </si>
  <si>
    <t>Motor type</t>
    <phoneticPr fontId="11" type="noConversion"/>
  </si>
  <si>
    <t>BLDC</t>
    <phoneticPr fontId="12" type="noConversion"/>
  </si>
  <si>
    <t>Test condition：LBP – ASHRAE          (condensing: 55℃)                    3000rpm</t>
  </si>
  <si>
    <t>Test condition：LBP – ASHRAE            (condensing: 50℃)                    3000rpm</t>
  </si>
  <si>
    <t>Test condition：LBP – ASHRAE        (condensing: 45℃)                      3000rpm</t>
  </si>
  <si>
    <t>Test condition：LBP – ASHRAE       (condensing: 40℃)                      3000rpm</t>
  </si>
  <si>
    <t>Test condition：LBP –ASHRAE        (condensing: 35℃)                       3000rpm</t>
  </si>
  <si>
    <t>Winding</t>
  </si>
  <si>
    <r>
      <rPr>
        <b/>
        <sz val="14"/>
        <rFont val="Calibri"/>
        <family val="2"/>
      </rPr>
      <t>2、Data sheet</t>
    </r>
    <r>
      <rPr>
        <sz val="12"/>
        <rFont val="Calibri"/>
        <family val="2"/>
      </rPr>
      <t>（Mark：input power, current, COP were tested with inverter）</t>
    </r>
  </si>
  <si>
    <r>
      <t xml:space="preserve"> </t>
    </r>
    <r>
      <rPr>
        <sz val="12"/>
        <color theme="1"/>
        <rFont val="微软雅黑"/>
        <family val="2"/>
        <charset val="134"/>
      </rPr>
      <t>≥</t>
    </r>
    <r>
      <rPr>
        <sz val="12"/>
        <color theme="1"/>
        <rFont val="Calibri"/>
        <family val="2"/>
      </rPr>
      <t>95%</t>
    </r>
  </si>
  <si>
    <t xml:space="preserve">   ≥93% </t>
  </si>
  <si>
    <t xml:space="preserve">   /    </t>
  </si>
  <si>
    <r>
      <t>115V/50Hz                              (subcooling/suction/ambient 32.2</t>
    </r>
    <r>
      <rPr>
        <b/>
        <sz val="12"/>
        <color rgb="FF000000"/>
        <rFont val="宋体"/>
        <family val="3"/>
        <charset val="134"/>
      </rPr>
      <t>℃</t>
    </r>
    <r>
      <rPr>
        <b/>
        <sz val="12"/>
        <color rgb="FF000000"/>
        <rFont val="Calibri"/>
        <family val="2"/>
      </rPr>
      <t xml:space="preserve">)   </t>
    </r>
    <phoneticPr fontId="11" type="noConversion"/>
  </si>
  <si>
    <r>
      <t>Test condition</t>
    </r>
    <r>
      <rPr>
        <b/>
        <sz val="12"/>
        <color rgb="FF000000"/>
        <rFont val="宋体"/>
        <family val="3"/>
        <charset val="134"/>
      </rPr>
      <t>：</t>
    </r>
    <r>
      <rPr>
        <b/>
        <sz val="12"/>
        <color rgb="FF000000"/>
        <rFont val="Calibri"/>
        <family val="2"/>
      </rPr>
      <t xml:space="preserve">LBP –ASHRAE     </t>
    </r>
    <r>
      <rPr>
        <b/>
        <sz val="12"/>
        <color rgb="FF000000"/>
        <rFont val="Calibri"/>
        <family val="2"/>
      </rPr>
      <t xml:space="preserve">                     3000rpm</t>
    </r>
    <phoneticPr fontId="11" type="noConversion"/>
  </si>
  <si>
    <t>Condensing/Evaporating</t>
    <phoneticPr fontId="11" type="noConversion"/>
  </si>
  <si>
    <t>54.4/-23.3</t>
    <phoneticPr fontId="12" type="noConversion"/>
  </si>
  <si>
    <t>54.4/-23.3</t>
    <phoneticPr fontId="12" type="noConversion"/>
  </si>
  <si>
    <t>9.0cc</t>
    <phoneticPr fontId="12" type="noConversion"/>
  </si>
  <si>
    <r>
      <t>220V/50Hz                              (subcooling/suction/ambient 32.2</t>
    </r>
    <r>
      <rPr>
        <b/>
        <sz val="12"/>
        <color rgb="FF000000"/>
        <rFont val="Segoe UI Symbol"/>
        <family val="3"/>
      </rPr>
      <t>℃</t>
    </r>
    <r>
      <rPr>
        <b/>
        <sz val="12"/>
        <color rgb="FF000000"/>
        <rFont val="Calibri"/>
        <family val="2"/>
      </rPr>
      <t xml:space="preserve">)   </t>
    </r>
    <phoneticPr fontId="11" type="noConversion"/>
  </si>
  <si>
    <t>Al</t>
    <phoneticPr fontId="12" type="noConversion"/>
  </si>
  <si>
    <t>220V/50Hz</t>
    <phoneticPr fontId="12" type="noConversion"/>
  </si>
  <si>
    <r>
      <t>Test condition</t>
    </r>
    <r>
      <rPr>
        <b/>
        <sz val="12"/>
        <color rgb="FF000000"/>
        <rFont val="宋体"/>
        <family val="3"/>
        <charset val="134"/>
      </rPr>
      <t>：</t>
    </r>
    <r>
      <rPr>
        <b/>
        <sz val="12"/>
        <color rgb="FF000000"/>
        <rFont val="Calibri"/>
        <family val="2"/>
      </rPr>
      <t>LBP – ASHRAE          (condensing: 55</t>
    </r>
    <r>
      <rPr>
        <b/>
        <sz val="12"/>
        <color rgb="FF000000"/>
        <rFont val="Segoe UI Symbol"/>
        <family val="3"/>
      </rPr>
      <t>℃</t>
    </r>
    <r>
      <rPr>
        <b/>
        <sz val="12"/>
        <color rgb="FF000000"/>
        <rFont val="Calibri"/>
        <family val="2"/>
      </rPr>
      <t>)                    1620rpm</t>
    </r>
    <phoneticPr fontId="11" type="noConversion"/>
  </si>
  <si>
    <r>
      <t>Test condition</t>
    </r>
    <r>
      <rPr>
        <b/>
        <sz val="12"/>
        <color rgb="FF000000"/>
        <rFont val="宋体"/>
        <family val="3"/>
        <charset val="134"/>
      </rPr>
      <t>：</t>
    </r>
    <r>
      <rPr>
        <b/>
        <sz val="12"/>
        <color rgb="FF000000"/>
        <rFont val="Calibri"/>
        <family val="2"/>
      </rPr>
      <t>LBP – ASHRAE            (condensing: 50</t>
    </r>
    <r>
      <rPr>
        <b/>
        <sz val="12"/>
        <color rgb="FF000000"/>
        <rFont val="Segoe UI Symbol"/>
        <family val="3"/>
      </rPr>
      <t>℃</t>
    </r>
    <r>
      <rPr>
        <b/>
        <sz val="12"/>
        <color rgb="FF000000"/>
        <rFont val="Calibri"/>
        <family val="2"/>
      </rPr>
      <t>)                     1620rpm</t>
    </r>
    <phoneticPr fontId="11" type="noConversion"/>
  </si>
  <si>
    <r>
      <t>Test condition</t>
    </r>
    <r>
      <rPr>
        <b/>
        <sz val="12"/>
        <color rgb="FF000000"/>
        <rFont val="宋体"/>
        <family val="3"/>
        <charset val="134"/>
      </rPr>
      <t>：</t>
    </r>
    <r>
      <rPr>
        <b/>
        <sz val="12"/>
        <color rgb="FF000000"/>
        <rFont val="Calibri"/>
        <family val="2"/>
      </rPr>
      <t>LBP – ASHRAE        (condensing: 45</t>
    </r>
    <r>
      <rPr>
        <b/>
        <sz val="12"/>
        <color rgb="FF000000"/>
        <rFont val="Segoe UI Symbol"/>
        <family val="3"/>
      </rPr>
      <t>℃</t>
    </r>
    <r>
      <rPr>
        <b/>
        <sz val="12"/>
        <color rgb="FF000000"/>
        <rFont val="Calibri"/>
        <family val="2"/>
      </rPr>
      <t>)                        1620rpm</t>
    </r>
    <phoneticPr fontId="11" type="noConversion"/>
  </si>
  <si>
    <r>
      <t>Test condition</t>
    </r>
    <r>
      <rPr>
        <b/>
        <sz val="12"/>
        <color rgb="FF000000"/>
        <rFont val="宋体"/>
        <family val="3"/>
        <charset val="134"/>
      </rPr>
      <t>：</t>
    </r>
    <r>
      <rPr>
        <b/>
        <sz val="12"/>
        <color rgb="FF000000"/>
        <rFont val="Calibri"/>
        <family val="2"/>
      </rPr>
      <t>LBP – ASHRAE       (condensing: 40</t>
    </r>
    <r>
      <rPr>
        <b/>
        <sz val="12"/>
        <color rgb="FF000000"/>
        <rFont val="Segoe UI Symbol"/>
        <family val="3"/>
      </rPr>
      <t>℃</t>
    </r>
    <r>
      <rPr>
        <b/>
        <sz val="12"/>
        <color rgb="FF000000"/>
        <rFont val="Calibri"/>
        <family val="2"/>
      </rPr>
      <t>)                        1620rpm</t>
    </r>
    <phoneticPr fontId="11" type="noConversion"/>
  </si>
  <si>
    <r>
      <t>Test condition</t>
    </r>
    <r>
      <rPr>
        <b/>
        <sz val="12"/>
        <color rgb="FF000000"/>
        <rFont val="宋体"/>
        <family val="3"/>
        <charset val="134"/>
      </rPr>
      <t>：</t>
    </r>
    <r>
      <rPr>
        <b/>
        <sz val="12"/>
        <color rgb="FF000000"/>
        <rFont val="Calibri"/>
        <family val="2"/>
      </rPr>
      <t>LBP –ASHRAE        (condensing: 35</t>
    </r>
    <r>
      <rPr>
        <b/>
        <sz val="12"/>
        <color rgb="FF000000"/>
        <rFont val="Segoe UI Symbol"/>
        <family val="3"/>
      </rPr>
      <t>℃</t>
    </r>
    <r>
      <rPr>
        <b/>
        <sz val="12"/>
        <color rgb="FF000000"/>
        <rFont val="Calibri"/>
        <family val="2"/>
      </rPr>
      <t>)                    1620rpm</t>
    </r>
    <phoneticPr fontId="11" type="noConversion"/>
  </si>
  <si>
    <r>
      <t>Test condition</t>
    </r>
    <r>
      <rPr>
        <b/>
        <sz val="12"/>
        <color rgb="FF000000"/>
        <rFont val="宋体"/>
        <family val="3"/>
        <charset val="134"/>
      </rPr>
      <t>：</t>
    </r>
    <r>
      <rPr>
        <b/>
        <sz val="12"/>
        <color rgb="FF000000"/>
        <rFont val="Calibri"/>
        <family val="2"/>
      </rPr>
      <t>LBP –ASHRAE                          1620rpm</t>
    </r>
    <phoneticPr fontId="11" type="noConversion"/>
  </si>
  <si>
    <t>DZ90A1X</t>
    <phoneticPr fontId="12" type="noConversion"/>
  </si>
  <si>
    <t>Test condition：LBP – ASHRAE          (condensing: 55℃)                    1320rpm</t>
  </si>
  <si>
    <t>Test condition：LBP – ASHRAE            (condensing: 50℃)                     1320rpm</t>
  </si>
  <si>
    <t>Test condition：LBP – ASHRAE        (condensing: 45℃)                        1320rpm</t>
  </si>
  <si>
    <t>Test condition：LBP – ASHRAE       (condensing: 40℃)                        1320rpm</t>
  </si>
  <si>
    <t>Test condition：LBP –ASHRAE        (condensing: 35℃)                    1320rpm</t>
  </si>
  <si>
    <t>Test condition：LBP –ASHRAE                          1320rpm</t>
  </si>
  <si>
    <t>Test condition：LBP – ASHRAE          (condensing: 55℃)                    4320rpm</t>
  </si>
  <si>
    <t>Test condition：LBP – ASHRAE            (condensing: 50℃)                    4320rpm</t>
  </si>
  <si>
    <t>Test condition：LBP – ASHRAE        (condensing: 45℃)                    4320rpm</t>
  </si>
  <si>
    <t>Test condition：LBP – ASHRAE       (condensing: 40℃)                    4320rpm</t>
  </si>
  <si>
    <t>Test condition：LBP –ASHRAE        (condensing: 35℃)                4320rpm</t>
  </si>
  <si>
    <t>Test condition：LBP –ASHRAE                                                          4320rpm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</si>
</sst>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_);[Red]\(0.0\)"/>
    <numFmt numFmtId="166" formatCode="0.00_);[Red]\(0.00\)"/>
    <numFmt numFmtId="167" formatCode="0.00_ "/>
    <numFmt numFmtId="168" formatCode="0.000"/>
  </numFmts>
  <fonts count="18">
    <font>
      <sz val="11"/>
      <name val="宋体"/>
    </font>
    <font>
      <sz val="11"/>
      <color rgb="FF000000"/>
      <name val="宋体"/>
      <family val="3"/>
      <charset val="134"/>
    </font>
    <font>
      <b/>
      <sz val="14"/>
      <color rgb="FF000000"/>
      <name val="宋体"/>
      <family val="3"/>
      <charset val="134"/>
    </font>
    <font>
      <b/>
      <sz val="11"/>
      <color rgb="FF000000"/>
      <name val="宋体"/>
      <family val="3"/>
      <charset val="134"/>
    </font>
    <font>
      <sz val="9"/>
      <color rgb="FF000000"/>
      <name val="宋体"/>
      <family val="3"/>
      <charset val="134"/>
    </font>
    <font>
      <b/>
      <sz val="18"/>
      <color rgb="FF000000"/>
      <name val="Calibri"/>
      <family val="2"/>
    </font>
    <font>
      <sz val="12"/>
      <color rgb="FF000000"/>
      <name val="Calibri"/>
      <family val="2"/>
    </font>
    <font>
      <b/>
      <sz val="14"/>
      <name val="Calibri"/>
      <family val="2"/>
    </font>
    <font>
      <sz val="12"/>
      <name val="Calibri"/>
      <family val="2"/>
    </font>
    <font>
      <b/>
      <sz val="12"/>
      <color rgb="FF000000"/>
      <name val="Calibri"/>
      <family val="2"/>
    </font>
    <font>
      <b/>
      <sz val="12"/>
      <name val="Calibri"/>
      <family val="2"/>
    </font>
    <font>
      <sz val="9"/>
      <name val="宋体"/>
      <family val="3"/>
      <charset val="134"/>
    </font>
    <font>
      <sz val="9"/>
      <name val="Calibri"/>
      <family val="3"/>
      <charset val="134"/>
      <scheme val="minor"/>
    </font>
    <font>
      <sz val="12"/>
      <color theme="1"/>
      <name val="Calibri"/>
      <family val="2"/>
    </font>
    <font>
      <sz val="12"/>
      <color theme="1"/>
      <name val="微软雅黑"/>
      <family val="2"/>
      <charset val="134"/>
    </font>
    <font>
      <b/>
      <sz val="12"/>
      <color rgb="FF000000"/>
      <name val="宋体"/>
      <family val="3"/>
      <charset val="134"/>
    </font>
    <font>
      <sz val="10"/>
      <color theme="1"/>
      <name val="微软雅黑"/>
      <family val="2"/>
      <charset val="134"/>
    </font>
    <font>
      <b/>
      <sz val="12"/>
      <color rgb="FF000000"/>
      <name val="Segoe UI Symbol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5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>
      <alignment vertical="center"/>
    </xf>
    <xf numFmtId="0" fontId="6" fillId="0" borderId="0" xfId="0" applyFont="1" applyFill="1">
      <alignment vertical="center"/>
    </xf>
    <xf numFmtId="164" fontId="6" fillId="0" borderId="1" xfId="0" applyNumberFormat="1" applyFont="1" applyBorder="1" applyAlignment="1">
      <alignment horizontal="center" vertical="center" wrapText="1"/>
    </xf>
    <xf numFmtId="165" fontId="6" fillId="0" borderId="7" xfId="0" applyNumberFormat="1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164" fontId="6" fillId="0" borderId="7" xfId="0" applyNumberFormat="1" applyFont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 wrapText="1"/>
    </xf>
    <xf numFmtId="166" fontId="6" fillId="0" borderId="1" xfId="0" applyNumberFormat="1" applyFont="1" applyBorder="1" applyAlignment="1">
      <alignment horizontal="center" vertical="center" wrapText="1"/>
    </xf>
    <xf numFmtId="0" fontId="6" fillId="0" borderId="0" xfId="0" applyFont="1" applyFill="1" applyAlignment="1">
      <alignment horizontal="justify" vertical="center"/>
    </xf>
    <xf numFmtId="164" fontId="6" fillId="0" borderId="0" xfId="0" applyNumberFormat="1" applyFont="1" applyFill="1">
      <alignment vertical="center"/>
    </xf>
    <xf numFmtId="0" fontId="6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165" fontId="6" fillId="0" borderId="1" xfId="0" applyNumberFormat="1" applyFont="1" applyBorder="1" applyAlignment="1">
      <alignment horizontal="center" vertical="center" wrapText="1"/>
    </xf>
    <xf numFmtId="165" fontId="6" fillId="0" borderId="0" xfId="0" applyNumberFormat="1" applyFont="1" applyFill="1">
      <alignment vertical="center"/>
    </xf>
    <xf numFmtId="0" fontId="6" fillId="0" borderId="1" xfId="0" applyFont="1" applyBorder="1" applyAlignment="1">
      <alignment horizontal="center" vertical="center" wrapText="1"/>
    </xf>
    <xf numFmtId="1" fontId="6" fillId="0" borderId="1" xfId="0" applyNumberFormat="1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justify" vertical="center" wrapText="1"/>
    </xf>
    <xf numFmtId="0" fontId="6" fillId="0" borderId="0" xfId="0" applyFont="1" applyFill="1" applyBorder="1" applyAlignment="1">
      <alignment horizontal="center" vertical="center" wrapText="1"/>
    </xf>
    <xf numFmtId="2" fontId="6" fillId="0" borderId="0" xfId="0" applyNumberFormat="1" applyFont="1" applyFill="1" applyBorder="1" applyAlignment="1">
      <alignment horizontal="center" vertical="center" wrapText="1"/>
    </xf>
    <xf numFmtId="0" fontId="9" fillId="0" borderId="0" xfId="0" applyFont="1" applyFill="1">
      <alignment vertical="center"/>
    </xf>
    <xf numFmtId="0" fontId="6" fillId="0" borderId="0" xfId="0" applyFont="1" applyFill="1" applyAlignment="1">
      <alignment vertical="center" wrapText="1"/>
    </xf>
    <xf numFmtId="0" fontId="10" fillId="0" borderId="0" xfId="0" applyFont="1" applyFill="1" applyBorder="1" applyAlignment="1">
      <alignment horizontal="left" vertical="center"/>
    </xf>
    <xf numFmtId="0" fontId="8" fillId="0" borderId="0" xfId="0" applyFont="1" applyFill="1">
      <alignment vertical="center"/>
    </xf>
    <xf numFmtId="0" fontId="6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>
      <alignment vertical="center"/>
    </xf>
    <xf numFmtId="0" fontId="6" fillId="0" borderId="0" xfId="0" applyFont="1" applyFill="1" applyBorder="1" applyAlignment="1">
      <alignment horizontal="justify" vertical="center"/>
    </xf>
    <xf numFmtId="164" fontId="8" fillId="0" borderId="0" xfId="0" applyNumberFormat="1" applyFont="1" applyFill="1" applyBorder="1" applyAlignment="1">
      <alignment horizontal="center" vertical="center" wrapText="1"/>
    </xf>
    <xf numFmtId="0" fontId="6" fillId="0" borderId="0" xfId="0" applyFont="1" applyFill="1" applyBorder="1">
      <alignment vertical="center"/>
    </xf>
    <xf numFmtId="164" fontId="8" fillId="0" borderId="0" xfId="0" applyNumberFormat="1" applyFont="1" applyFill="1" applyBorder="1" applyAlignment="1">
      <alignment horizontal="center" vertical="center"/>
    </xf>
    <xf numFmtId="167" fontId="8" fillId="0" borderId="0" xfId="0" applyNumberFormat="1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164" fontId="6" fillId="0" borderId="0" xfId="0" applyNumberFormat="1" applyFont="1" applyBorder="1" applyAlignment="1" applyProtection="1">
      <alignment horizontal="center" vertical="center"/>
      <protection locked="0"/>
    </xf>
    <xf numFmtId="164" fontId="6" fillId="0" borderId="0" xfId="0" applyNumberFormat="1" applyFont="1" applyBorder="1" applyAlignment="1">
      <alignment horizontal="center" vertical="center" wrapText="1"/>
    </xf>
    <xf numFmtId="164" fontId="6" fillId="0" borderId="0" xfId="0" applyNumberFormat="1" applyFont="1" applyFill="1" applyBorder="1" applyAlignment="1" applyProtection="1">
      <alignment horizontal="center" vertical="center"/>
      <protection locked="0"/>
    </xf>
    <xf numFmtId="2" fontId="6" fillId="0" borderId="0" xfId="0" applyNumberFormat="1" applyFont="1" applyBorder="1" applyAlignment="1">
      <alignment horizontal="center" vertical="center" wrapText="1"/>
    </xf>
    <xf numFmtId="166" fontId="6" fillId="0" borderId="0" xfId="0" applyNumberFormat="1" applyFont="1" applyBorder="1" applyAlignment="1">
      <alignment horizontal="center" vertical="center" wrapText="1"/>
    </xf>
    <xf numFmtId="0" fontId="6" fillId="0" borderId="0" xfId="0" applyFont="1" applyFill="1" applyAlignment="1">
      <alignment horizontal="center" vertical="center"/>
    </xf>
    <xf numFmtId="165" fontId="13" fillId="0" borderId="1" xfId="0" applyNumberFormat="1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164" fontId="6" fillId="0" borderId="1" xfId="0" applyNumberFormat="1" applyFont="1" applyFill="1" applyBorder="1" applyAlignment="1">
      <alignment horizontal="center" vertical="center"/>
    </xf>
    <xf numFmtId="165" fontId="6" fillId="0" borderId="1" xfId="0" applyNumberFormat="1" applyFont="1" applyFill="1" applyBorder="1" applyAlignment="1">
      <alignment horizontal="center" vertical="center"/>
    </xf>
    <xf numFmtId="0" fontId="16" fillId="0" borderId="1" xfId="0" applyFont="1" applyFill="1" applyBorder="1">
      <alignment vertical="center"/>
    </xf>
    <xf numFmtId="165" fontId="6" fillId="0" borderId="0" xfId="0" applyNumberFormat="1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168" fontId="6" fillId="0" borderId="1" xfId="0" applyNumberFormat="1" applyFont="1" applyBorder="1" applyAlignment="1">
      <alignment horizontal="center" vertical="center" wrapText="1"/>
    </xf>
    <xf numFmtId="166" fontId="6" fillId="0" borderId="0" xfId="0" applyNumberFormat="1" applyFont="1" applyFill="1">
      <alignment vertical="center"/>
    </xf>
    <xf numFmtId="166" fontId="6" fillId="0" borderId="7" xfId="0" applyNumberFormat="1" applyFont="1" applyBorder="1" applyAlignment="1">
      <alignment horizontal="center" vertical="center" wrapText="1"/>
    </xf>
    <xf numFmtId="166" fontId="13" fillId="0" borderId="1" xfId="0" applyNumberFormat="1" applyFont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165" fontId="5" fillId="0" borderId="0" xfId="0" applyNumberFormat="1" applyFont="1" applyFill="1" applyAlignment="1">
      <alignment horizontal="center" vertical="center"/>
    </xf>
    <xf numFmtId="0" fontId="7" fillId="0" borderId="2" xfId="0" applyFont="1" applyFill="1" applyBorder="1" applyAlignment="1">
      <alignment horizontal="left" vertical="center"/>
    </xf>
    <xf numFmtId="165" fontId="7" fillId="0" borderId="2" xfId="0" applyNumberFormat="1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9" fillId="0" borderId="3" xfId="0" applyFont="1" applyFill="1" applyBorder="1" applyAlignment="1">
      <alignment horizontal="justify" vertical="center" wrapText="1"/>
    </xf>
    <xf numFmtId="0" fontId="9" fillId="0" borderId="4" xfId="0" applyFont="1" applyFill="1" applyBorder="1" applyAlignment="1">
      <alignment horizontal="justify" vertical="center" wrapText="1"/>
    </xf>
    <xf numFmtId="165" fontId="9" fillId="0" borderId="4" xfId="0" applyNumberFormat="1" applyFont="1" applyFill="1" applyBorder="1" applyAlignment="1">
      <alignment horizontal="justify" vertical="center" wrapText="1"/>
    </xf>
    <xf numFmtId="0" fontId="9" fillId="0" borderId="5" xfId="0" applyFont="1" applyFill="1" applyBorder="1" applyAlignment="1">
      <alignment horizontal="justify" vertical="center" wrapText="1"/>
    </xf>
    <xf numFmtId="0" fontId="9" fillId="0" borderId="1" xfId="0" applyFont="1" applyFill="1" applyBorder="1" applyAlignment="1">
      <alignment horizontal="justify" vertical="center" wrapText="1"/>
    </xf>
    <xf numFmtId="165" fontId="9" fillId="0" borderId="1" xfId="0" applyNumberFormat="1" applyFont="1" applyFill="1" applyBorder="1" applyAlignment="1">
      <alignment horizontal="justify" vertical="center" wrapText="1"/>
    </xf>
    <xf numFmtId="0" fontId="10" fillId="0" borderId="2" xfId="0" applyFont="1" applyFill="1" applyBorder="1" applyAlignment="1">
      <alignment horizontal="left" vertical="center"/>
    </xf>
    <xf numFmtId="165" fontId="10" fillId="0" borderId="2" xfId="0" applyNumberFormat="1" applyFont="1" applyFill="1" applyBorder="1" applyAlignment="1">
      <alignment horizontal="left" vertical="center"/>
    </xf>
    <xf numFmtId="0" fontId="6" fillId="0" borderId="0" xfId="0" applyFont="1" applyFill="1" applyAlignment="1">
      <alignment horizontal="left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164" fontId="9" fillId="0" borderId="1" xfId="0" applyNumberFormat="1" applyFont="1" applyFill="1" applyBorder="1" applyAlignment="1">
      <alignment horizontal="justify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165" fontId="8" fillId="0" borderId="6" xfId="0" applyNumberFormat="1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8" fillId="0" borderId="4" xfId="0" applyFont="1" applyFill="1" applyBorder="1" applyAlignment="1">
      <alignment horizontal="left" vertical="center" wrapText="1"/>
    </xf>
    <xf numFmtId="0" fontId="8" fillId="0" borderId="5" xfId="0" applyFont="1" applyFill="1" applyBorder="1" applyAlignment="1">
      <alignment horizontal="left" vertical="center" wrapText="1"/>
    </xf>
    <xf numFmtId="0" fontId="13" fillId="0" borderId="3" xfId="0" applyFont="1" applyFill="1" applyBorder="1" applyAlignment="1">
      <alignment horizontal="center" vertical="center"/>
    </xf>
    <xf numFmtId="0" fontId="13" fillId="0" borderId="4" xfId="0" applyFont="1" applyFill="1" applyBorder="1" applyAlignment="1">
      <alignment horizontal="center" vertical="center"/>
    </xf>
    <xf numFmtId="0" fontId="13" fillId="0" borderId="5" xfId="0" applyFont="1" applyFill="1" applyBorder="1" applyAlignment="1">
      <alignment horizontal="center" vertical="center"/>
    </xf>
    <xf numFmtId="164" fontId="9" fillId="0" borderId="4" xfId="0" applyNumberFormat="1" applyFont="1" applyFill="1" applyBorder="1" applyAlignment="1">
      <alignment horizontal="justify" vertical="center" wrapText="1"/>
    </xf>
    <xf numFmtId="0" fontId="9" fillId="2" borderId="1" xfId="0" applyFont="1" applyFill="1" applyBorder="1" applyAlignment="1">
      <alignment horizontal="justify" vertical="center" wrapText="1"/>
    </xf>
    <xf numFmtId="164" fontId="9" fillId="2" borderId="1" xfId="0" applyNumberFormat="1" applyFont="1" applyFill="1" applyBorder="1" applyAlignment="1">
      <alignment horizontal="justify" vertical="center" wrapText="1"/>
    </xf>
    <xf numFmtId="164" fontId="6" fillId="0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www.wps.cn/officeDocument/2020/cellImage" Target="NUL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Condensing</a:t>
            </a:r>
            <a:endParaRPr lang="zh-CN" sz="1000"/>
          </a:p>
        </c:rich>
      </c:tx>
      <c:layout>
        <c:manualLayout>
          <c:xMode val="edge"/>
          <c:yMode val="edge"/>
          <c:x val="3.7164831492932301E-2"/>
          <c:y val="2.86720881201325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865079365079363"/>
          <c:y val="0.13170956498424827"/>
          <c:w val="0.76711507936507939"/>
          <c:h val="0.72278369863931902"/>
        </c:manualLayout>
      </c:layout>
      <c:scatterChart>
        <c:scatterStyle val="smoothMarker"/>
        <c:varyColors val="0"/>
        <c:ser>
          <c:idx val="0"/>
          <c:order val="0"/>
          <c:tx>
            <c:v>55℃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'DZ90A1X 4320'!$B$17:$B$22</c:f>
              <c:numCache>
                <c:formatCode>General</c:formatCode>
                <c:ptCount val="6"/>
                <c:pt idx="0">
                  <c:v>-35</c:v>
                </c:pt>
                <c:pt idx="1">
                  <c:v>-30</c:v>
                </c:pt>
                <c:pt idx="2">
                  <c:v>-25</c:v>
                </c:pt>
                <c:pt idx="3">
                  <c:v>-20</c:v>
                </c:pt>
                <c:pt idx="4">
                  <c:v>-15</c:v>
                </c:pt>
                <c:pt idx="5">
                  <c:v>-10</c:v>
                </c:pt>
              </c:numCache>
            </c:numRef>
          </c:xVal>
          <c:yVal>
            <c:numRef>
              <c:f>'DZ90A1X 4320'!$C$17:$C$22</c:f>
              <c:numCache>
                <c:formatCode>0.0</c:formatCode>
                <c:ptCount val="6"/>
                <c:pt idx="0">
                  <c:v>126.60247455270041</c:v>
                </c:pt>
                <c:pt idx="1">
                  <c:v>159.19075480873741</c:v>
                </c:pt>
                <c:pt idx="2">
                  <c:v>199.00329420878455</c:v>
                </c:pt>
                <c:pt idx="3">
                  <c:v>247.22899976895181</c:v>
                </c:pt>
                <c:pt idx="4">
                  <c:v>305.0567785053496</c:v>
                </c:pt>
                <c:pt idx="5">
                  <c:v>373.67553743408791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8E2-4D14-8AE3-2C5C306D5CE4}"/>
            </c:ext>
          </c:extLst>
        </c:ser>
        <c:ser>
          <c:idx val="1"/>
          <c:order val="1"/>
          <c:tx>
            <c:v>50℃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'DZ90A1X 4320'!$B$29:$B$34</c:f>
              <c:numCache>
                <c:formatCode>General</c:formatCode>
                <c:ptCount val="6"/>
                <c:pt idx="0">
                  <c:v>-35</c:v>
                </c:pt>
                <c:pt idx="1">
                  <c:v>-30</c:v>
                </c:pt>
                <c:pt idx="2">
                  <c:v>-25</c:v>
                </c:pt>
                <c:pt idx="3">
                  <c:v>-20</c:v>
                </c:pt>
                <c:pt idx="4">
                  <c:v>-15</c:v>
                </c:pt>
                <c:pt idx="5">
                  <c:v>-10</c:v>
                </c:pt>
              </c:numCache>
            </c:numRef>
          </c:xVal>
          <c:yVal>
            <c:numRef>
              <c:f>'DZ90A1X 4320'!$C$29:$C$34</c:f>
              <c:numCache>
                <c:formatCode>0.0</c:formatCode>
                <c:ptCount val="6"/>
                <c:pt idx="0">
                  <c:v>131.61557098881164</c:v>
                </c:pt>
                <c:pt idx="1">
                  <c:v>164.20901967896489</c:v>
                </c:pt>
                <c:pt idx="2">
                  <c:v>204.02791969312196</c:v>
                </c:pt>
                <c:pt idx="3">
                  <c:v>252.26117804739289</c:v>
                </c:pt>
                <c:pt idx="4">
                  <c:v>310.09770175788805</c:v>
                </c:pt>
                <c:pt idx="5">
                  <c:v>378.72639784071748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8E2-4D14-8AE3-2C5C306D5CE4}"/>
            </c:ext>
          </c:extLst>
        </c:ser>
        <c:ser>
          <c:idx val="2"/>
          <c:order val="2"/>
          <c:tx>
            <c:v>45℃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'DZ90A1X 4320'!$B$41:$B$46</c:f>
              <c:numCache>
                <c:formatCode>General</c:formatCode>
                <c:ptCount val="6"/>
                <c:pt idx="0">
                  <c:v>-35</c:v>
                </c:pt>
                <c:pt idx="1">
                  <c:v>-30</c:v>
                </c:pt>
                <c:pt idx="2">
                  <c:v>-25</c:v>
                </c:pt>
                <c:pt idx="3">
                  <c:v>-20</c:v>
                </c:pt>
                <c:pt idx="4">
                  <c:v>-15</c:v>
                </c:pt>
                <c:pt idx="5">
                  <c:v>-10</c:v>
                </c:pt>
              </c:numCache>
            </c:numRef>
          </c:xVal>
          <c:yVal>
            <c:numRef>
              <c:f>'DZ90A1X 4320'!$C$41:$C$46</c:f>
              <c:numCache>
                <c:formatCode>0.0</c:formatCode>
                <c:ptCount val="6"/>
                <c:pt idx="0">
                  <c:v>136.62605259845111</c:v>
                </c:pt>
                <c:pt idx="1">
                  <c:v>169.22368888471502</c:v>
                </c:pt>
                <c:pt idx="2">
                  <c:v>209.04796867497649</c:v>
                </c:pt>
                <c:pt idx="3">
                  <c:v>257.28779898534555</c:v>
                </c:pt>
                <c:pt idx="4">
                  <c:v>315.13208683193255</c:v>
                </c:pt>
                <c:pt idx="5">
                  <c:v>383.76973923084756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8E2-4D14-8AE3-2C5C306D5CE4}"/>
            </c:ext>
          </c:extLst>
        </c:ser>
        <c:ser>
          <c:idx val="3"/>
          <c:order val="3"/>
          <c:tx>
            <c:v>40℃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'DZ90A1X 4320'!$B$53:$B$58</c:f>
              <c:numCache>
                <c:formatCode>General</c:formatCode>
                <c:ptCount val="6"/>
                <c:pt idx="0">
                  <c:v>-35</c:v>
                </c:pt>
                <c:pt idx="1">
                  <c:v>-30</c:v>
                </c:pt>
                <c:pt idx="2">
                  <c:v>-25</c:v>
                </c:pt>
                <c:pt idx="3">
                  <c:v>-20</c:v>
                </c:pt>
                <c:pt idx="4">
                  <c:v>-15</c:v>
                </c:pt>
                <c:pt idx="5">
                  <c:v>-10</c:v>
                </c:pt>
              </c:numCache>
            </c:numRef>
          </c:xVal>
          <c:yVal>
            <c:numRef>
              <c:f>'DZ90A1X 4320'!$C$53:$C$58</c:f>
              <c:numCache>
                <c:formatCode>0.0</c:formatCode>
                <c:ptCount val="6"/>
                <c:pt idx="0">
                  <c:v>141.63391938161868</c:v>
                </c:pt>
                <c:pt idx="1">
                  <c:v>174.23476242598781</c:v>
                </c:pt>
                <c:pt idx="2">
                  <c:v>214.06344115434814</c:v>
                </c:pt>
                <c:pt idx="3">
                  <c:v>262.30886258280987</c:v>
                </c:pt>
                <c:pt idx="4">
                  <c:v>320.15993372748329</c:v>
                </c:pt>
                <c:pt idx="5">
                  <c:v>388.80556160447838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8E2-4D14-8AE3-2C5C306D5CE4}"/>
            </c:ext>
          </c:extLst>
        </c:ser>
        <c:ser>
          <c:idx val="4"/>
          <c:order val="4"/>
          <c:tx>
            <c:v>35℃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'DZ90A1X 4320'!$B$65:$B$70</c:f>
              <c:numCache>
                <c:formatCode>General</c:formatCode>
                <c:ptCount val="6"/>
                <c:pt idx="0">
                  <c:v>-35</c:v>
                </c:pt>
                <c:pt idx="1">
                  <c:v>-30</c:v>
                </c:pt>
                <c:pt idx="2">
                  <c:v>-25</c:v>
                </c:pt>
                <c:pt idx="3">
                  <c:v>-20</c:v>
                </c:pt>
                <c:pt idx="4">
                  <c:v>-15</c:v>
                </c:pt>
                <c:pt idx="5">
                  <c:v>-10</c:v>
                </c:pt>
              </c:numCache>
            </c:numRef>
          </c:xVal>
          <c:yVal>
            <c:numRef>
              <c:f>'DZ90A1X 4320'!$C$65:$C$70</c:f>
              <c:numCache>
                <c:formatCode>0.0</c:formatCode>
                <c:ptCount val="6"/>
                <c:pt idx="0">
                  <c:v>146.63917133831444</c:v>
                </c:pt>
                <c:pt idx="1">
                  <c:v>179.24224030278316</c:v>
                </c:pt>
                <c:pt idx="2">
                  <c:v>219.07433713123692</c:v>
                </c:pt>
                <c:pt idx="3">
                  <c:v>267.32436883978573</c:v>
                </c:pt>
                <c:pt idx="4">
                  <c:v>325.18124244453998</c:v>
                </c:pt>
                <c:pt idx="5">
                  <c:v>393.83386496160966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8E2-4D14-8AE3-2C5C306D5C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2900112"/>
        <c:axId val="302900672"/>
      </c:scatterChart>
      <c:valAx>
        <c:axId val="302900112"/>
        <c:scaling>
          <c:orientation val="minMax"/>
          <c:max val="-5"/>
          <c:min val="-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Evaporating(℃)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900672"/>
        <c:crossesAt val="-200"/>
        <c:crossBetween val="midCat"/>
      </c:valAx>
      <c:valAx>
        <c:axId val="302900672"/>
        <c:scaling>
          <c:orientation val="minMax"/>
          <c:max val="430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Capacity</a:t>
                </a:r>
                <a:r>
                  <a:rPr lang="zh-CN"/>
                  <a:t> </a:t>
                </a:r>
                <a:endParaRPr lang="en-US" altLang="zh-CN"/>
              </a:p>
              <a:p>
                <a:pPr>
                  <a:defRPr/>
                </a:pPr>
                <a:r>
                  <a:rPr lang="en-US"/>
                  <a:t>(W@4500rpm)</a:t>
                </a:r>
                <a:endParaRPr lang="zh-CN"/>
              </a:p>
            </c:rich>
          </c:tx>
          <c:layout>
            <c:manualLayout>
              <c:xMode val="edge"/>
              <c:yMode val="edge"/>
              <c:x val="0.88241317460317459"/>
              <c:y val="1.0874836601307187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900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844238095238095E-2"/>
          <c:y val="0.1348362745098039"/>
          <c:w val="0.11247089331480099"/>
          <c:h val="0.694633775955026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Condensing</a:t>
            </a:r>
            <a:endParaRPr lang="zh-CN"/>
          </a:p>
        </c:rich>
      </c:tx>
      <c:layout>
        <c:manualLayout>
          <c:xMode val="edge"/>
          <c:yMode val="edge"/>
          <c:x val="3.8739997250033298E-2"/>
          <c:y val="3.0218104527317401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865079365079363"/>
          <c:y val="0.14892843137254902"/>
          <c:w val="0.76913095238095219"/>
          <c:h val="0.70971535947712405"/>
        </c:manualLayout>
      </c:layout>
      <c:scatterChart>
        <c:scatterStyle val="smoothMarker"/>
        <c:varyColors val="0"/>
        <c:ser>
          <c:idx val="0"/>
          <c:order val="0"/>
          <c:tx>
            <c:v>55℃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'DZ90A1X 4320'!$B$17:$B$22</c:f>
              <c:numCache>
                <c:formatCode>General</c:formatCode>
                <c:ptCount val="6"/>
                <c:pt idx="0">
                  <c:v>-35</c:v>
                </c:pt>
                <c:pt idx="1">
                  <c:v>-30</c:v>
                </c:pt>
                <c:pt idx="2">
                  <c:v>-25</c:v>
                </c:pt>
                <c:pt idx="3">
                  <c:v>-20</c:v>
                </c:pt>
                <c:pt idx="4">
                  <c:v>-15</c:v>
                </c:pt>
                <c:pt idx="5">
                  <c:v>-10</c:v>
                </c:pt>
              </c:numCache>
            </c:numRef>
          </c:xVal>
          <c:yVal>
            <c:numRef>
              <c:f>'DZ90A1X 4320'!$F$17:$F$22</c:f>
              <c:numCache>
                <c:formatCode>0.0_);[Red]\(0.0\)</c:formatCode>
                <c:ptCount val="6"/>
                <c:pt idx="0">
                  <c:v>90.279153313447765</c:v>
                </c:pt>
                <c:pt idx="1">
                  <c:v>105.47662725419623</c:v>
                </c:pt>
                <c:pt idx="2">
                  <c:v>121.10874367936796</c:v>
                </c:pt>
                <c:pt idx="3">
                  <c:v>136.7463842013276</c:v>
                </c:pt>
                <c:pt idx="4">
                  <c:v>151.96043043243981</c:v>
                </c:pt>
                <c:pt idx="5">
                  <c:v>166.32176398506914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3FE-4A5F-9931-B25C000AD2CA}"/>
            </c:ext>
          </c:extLst>
        </c:ser>
        <c:ser>
          <c:idx val="1"/>
          <c:order val="1"/>
          <c:tx>
            <c:v>50℃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'DZ90A1X 4320'!$B$29:$B$34</c:f>
              <c:numCache>
                <c:formatCode>General</c:formatCode>
                <c:ptCount val="6"/>
                <c:pt idx="0">
                  <c:v>-35</c:v>
                </c:pt>
                <c:pt idx="1">
                  <c:v>-30</c:v>
                </c:pt>
                <c:pt idx="2">
                  <c:v>-25</c:v>
                </c:pt>
                <c:pt idx="3">
                  <c:v>-20</c:v>
                </c:pt>
                <c:pt idx="4">
                  <c:v>-15</c:v>
                </c:pt>
                <c:pt idx="5">
                  <c:v>-10</c:v>
                </c:pt>
              </c:numCache>
            </c:numRef>
          </c:xVal>
          <c:yVal>
            <c:numRef>
              <c:f>'DZ90A1X 4320'!$F$29:$F$34</c:f>
              <c:numCache>
                <c:formatCode>0.0_);[Red]\(0.0\)</c:formatCode>
                <c:ptCount val="6"/>
                <c:pt idx="0">
                  <c:v>86.922831307169446</c:v>
                </c:pt>
                <c:pt idx="1">
                  <c:v>101.09717316522547</c:v>
                </c:pt>
                <c:pt idx="2">
                  <c:v>115.48807749140046</c:v>
                </c:pt>
                <c:pt idx="3">
                  <c:v>129.66642589805903</c:v>
                </c:pt>
                <c:pt idx="4">
                  <c:v>143.20309999756583</c:v>
                </c:pt>
                <c:pt idx="5">
                  <c:v>155.66898140228545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3FE-4A5F-9931-B25C000AD2CA}"/>
            </c:ext>
          </c:extLst>
        </c:ser>
        <c:ser>
          <c:idx val="2"/>
          <c:order val="2"/>
          <c:tx>
            <c:v>45℃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'DZ90A1X 4320'!$B$41:$B$46</c:f>
              <c:numCache>
                <c:formatCode>General</c:formatCode>
                <c:ptCount val="6"/>
                <c:pt idx="0">
                  <c:v>-35</c:v>
                </c:pt>
                <c:pt idx="1">
                  <c:v>-30</c:v>
                </c:pt>
                <c:pt idx="2">
                  <c:v>-25</c:v>
                </c:pt>
                <c:pt idx="3">
                  <c:v>-20</c:v>
                </c:pt>
                <c:pt idx="4">
                  <c:v>-15</c:v>
                </c:pt>
                <c:pt idx="5">
                  <c:v>-10</c:v>
                </c:pt>
              </c:numCache>
            </c:numRef>
          </c:xVal>
          <c:yVal>
            <c:numRef>
              <c:f>'DZ90A1X 4320'!$F$41:$F$46</c:f>
              <c:numCache>
                <c:formatCode>0.0_);[Red]\(0.0\)</c:formatCode>
                <c:ptCount val="6"/>
                <c:pt idx="0">
                  <c:v>83.401558404979724</c:v>
                </c:pt>
                <c:pt idx="1">
                  <c:v>96.494113730493424</c:v>
                </c:pt>
                <c:pt idx="2">
                  <c:v>109.58515150782176</c:v>
                </c:pt>
                <c:pt idx="3">
                  <c:v>122.24555334932936</c:v>
                </c:pt>
                <c:pt idx="4">
                  <c:v>134.04620086738089</c:v>
                </c:pt>
                <c:pt idx="5">
                  <c:v>144.55797567434092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3FE-4A5F-9931-B25C000AD2CA}"/>
            </c:ext>
          </c:extLst>
        </c:ser>
        <c:ser>
          <c:idx val="3"/>
          <c:order val="3"/>
          <c:tx>
            <c:v>40℃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'DZ90A1X 4320'!$B$53:$B$58</c:f>
              <c:numCache>
                <c:formatCode>General</c:formatCode>
                <c:ptCount val="6"/>
                <c:pt idx="0">
                  <c:v>-35</c:v>
                </c:pt>
                <c:pt idx="1">
                  <c:v>-30</c:v>
                </c:pt>
                <c:pt idx="2">
                  <c:v>-25</c:v>
                </c:pt>
                <c:pt idx="3">
                  <c:v>-20</c:v>
                </c:pt>
                <c:pt idx="4">
                  <c:v>-15</c:v>
                </c:pt>
                <c:pt idx="5">
                  <c:v>-10</c:v>
                </c:pt>
              </c:numCache>
            </c:numRef>
          </c:xVal>
          <c:yVal>
            <c:numRef>
              <c:f>'DZ90A1X 4320'!$F$53:$F$58</c:f>
              <c:numCache>
                <c:formatCode>0.0_);[Red]\(0.0\)</c:formatCode>
                <c:ptCount val="6"/>
                <c:pt idx="0">
                  <c:v>79.706066938427583</c:v>
                </c:pt>
                <c:pt idx="1">
                  <c:v>91.658181281549048</c:v>
                </c:pt>
                <c:pt idx="2">
                  <c:v>103.3906980601809</c:v>
                </c:pt>
                <c:pt idx="3">
                  <c:v>114.47449888668764</c:v>
                </c:pt>
                <c:pt idx="4">
                  <c:v>124.48046537343394</c:v>
                </c:pt>
                <c:pt idx="5">
                  <c:v>132.97947913278452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3FE-4A5F-9931-B25C000AD2CA}"/>
            </c:ext>
          </c:extLst>
        </c:ser>
        <c:ser>
          <c:idx val="4"/>
          <c:order val="4"/>
          <c:tx>
            <c:v>35℃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'DZ90A1X 4320'!$B$65:$B$70</c:f>
              <c:numCache>
                <c:formatCode>General</c:formatCode>
                <c:ptCount val="6"/>
                <c:pt idx="0">
                  <c:v>-35</c:v>
                </c:pt>
                <c:pt idx="1">
                  <c:v>-30</c:v>
                </c:pt>
                <c:pt idx="2">
                  <c:v>-25</c:v>
                </c:pt>
                <c:pt idx="3">
                  <c:v>-20</c:v>
                </c:pt>
                <c:pt idx="4">
                  <c:v>-15</c:v>
                </c:pt>
                <c:pt idx="5">
                  <c:v>-10</c:v>
                </c:pt>
              </c:numCache>
            </c:numRef>
          </c:xVal>
          <c:yVal>
            <c:numRef>
              <c:f>'DZ90A1X 4320'!$F$65:$F$70</c:f>
              <c:numCache>
                <c:formatCode>0.0_);[Red]\(0.0\)</c:formatCode>
                <c:ptCount val="6"/>
                <c:pt idx="0">
                  <c:v>75.827089239062076</c:v>
                </c:pt>
                <c:pt idx="1">
                  <c:v>86.580108149941424</c:v>
                </c:pt>
                <c:pt idx="2">
                  <c:v>96.895449480026912</c:v>
                </c:pt>
                <c:pt idx="3">
                  <c:v>106.34399484168287</c:v>
                </c:pt>
                <c:pt idx="4">
                  <c:v>114.49662584727415</c:v>
                </c:pt>
                <c:pt idx="5">
                  <c:v>120.92422410916532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3FE-4A5F-9931-B25C000AD2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2905712"/>
        <c:axId val="302906272"/>
      </c:scatterChart>
      <c:valAx>
        <c:axId val="302905712"/>
        <c:scaling>
          <c:orientation val="minMax"/>
          <c:max val="-5"/>
          <c:min val="-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Evaporating(℃)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906272"/>
        <c:crossesAt val="-200"/>
        <c:crossBetween val="midCat"/>
      </c:valAx>
      <c:valAx>
        <c:axId val="302906272"/>
        <c:scaling>
          <c:orientation val="minMax"/>
          <c:max val="200"/>
          <c:min val="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</a:t>
                </a:r>
                <a:r>
                  <a:rPr lang="en-US" baseline="0"/>
                  <a:t> power </a:t>
                </a:r>
              </a:p>
              <a:p>
                <a:pPr>
                  <a:defRPr/>
                </a:pPr>
                <a:r>
                  <a:rPr lang="en-US"/>
                  <a:t>(W@4500rpm)</a:t>
                </a:r>
                <a:endParaRPr lang="zh-CN"/>
              </a:p>
            </c:rich>
          </c:tx>
          <c:layout>
            <c:manualLayout>
              <c:xMode val="edge"/>
              <c:yMode val="edge"/>
              <c:x val="0.86398142857142857"/>
              <c:y val="1.308496732026144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_);[Red]\(0.0\)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905712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2164126984126984E-2"/>
          <c:y val="0.12072483660130719"/>
          <c:w val="8.9291070189901706E-2"/>
          <c:h val="0.788598362709947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Condensing</a:t>
            </a:r>
            <a:endParaRPr lang="zh-CN" sz="1000"/>
          </a:p>
        </c:rich>
      </c:tx>
      <c:layout>
        <c:manualLayout>
          <c:xMode val="edge"/>
          <c:yMode val="edge"/>
          <c:x val="3.7086789702758E-2"/>
          <c:y val="9.0544632224812405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048333333333334"/>
          <c:y val="0.14769477124183009"/>
          <c:w val="0.76913095238095219"/>
          <c:h val="0.70354248366013072"/>
        </c:manualLayout>
      </c:layout>
      <c:scatterChart>
        <c:scatterStyle val="smoothMarker"/>
        <c:varyColors val="0"/>
        <c:ser>
          <c:idx val="0"/>
          <c:order val="0"/>
          <c:tx>
            <c:v>55℃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'DZ90A1X 4320'!$B$17:$B$22</c:f>
              <c:numCache>
                <c:formatCode>General</c:formatCode>
                <c:ptCount val="6"/>
                <c:pt idx="0">
                  <c:v>-35</c:v>
                </c:pt>
                <c:pt idx="1">
                  <c:v>-30</c:v>
                </c:pt>
                <c:pt idx="2">
                  <c:v>-25</c:v>
                </c:pt>
                <c:pt idx="3">
                  <c:v>-20</c:v>
                </c:pt>
                <c:pt idx="4">
                  <c:v>-15</c:v>
                </c:pt>
                <c:pt idx="5">
                  <c:v>-10</c:v>
                </c:pt>
              </c:numCache>
            </c:numRef>
          </c:xVal>
          <c:yVal>
            <c:numRef>
              <c:f>'DZ90A1X 4320'!$G$17:$G$22</c:f>
              <c:numCache>
                <c:formatCode>0.00</c:formatCode>
                <c:ptCount val="6"/>
                <c:pt idx="0">
                  <c:v>1.4023445048619216</c:v>
                </c:pt>
                <c:pt idx="1">
                  <c:v>1.5092514707082108</c:v>
                </c:pt>
                <c:pt idx="2">
                  <c:v>1.6431785861443684</c:v>
                </c:pt>
                <c:pt idx="3">
                  <c:v>1.8079381126813852</c:v>
                </c:pt>
                <c:pt idx="4">
                  <c:v>2.0074750883321233</c:v>
                </c:pt>
                <c:pt idx="5">
                  <c:v>2.2467025870867574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D16-4CAF-9434-89EC3A247993}"/>
            </c:ext>
          </c:extLst>
        </c:ser>
        <c:ser>
          <c:idx val="1"/>
          <c:order val="1"/>
          <c:tx>
            <c:v>50℃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'DZ90A1X 4320'!$B$29:$B$34</c:f>
              <c:numCache>
                <c:formatCode>General</c:formatCode>
                <c:ptCount val="6"/>
                <c:pt idx="0">
                  <c:v>-35</c:v>
                </c:pt>
                <c:pt idx="1">
                  <c:v>-30</c:v>
                </c:pt>
                <c:pt idx="2">
                  <c:v>-25</c:v>
                </c:pt>
                <c:pt idx="3">
                  <c:v>-20</c:v>
                </c:pt>
                <c:pt idx="4">
                  <c:v>-15</c:v>
                </c:pt>
                <c:pt idx="5">
                  <c:v>-10</c:v>
                </c:pt>
              </c:numCache>
            </c:numRef>
          </c:xVal>
          <c:yVal>
            <c:numRef>
              <c:f>'DZ90A1X 4320'!$G$29:$G$34</c:f>
              <c:numCache>
                <c:formatCode>0.00</c:formatCode>
                <c:ptCount val="6"/>
                <c:pt idx="0">
                  <c:v>1.5141657146866996</c:v>
                </c:pt>
                <c:pt idx="1">
                  <c:v>1.6242691515280478</c:v>
                </c:pt>
                <c:pt idx="2">
                  <c:v>1.7666578587587485</c:v>
                </c:pt>
                <c:pt idx="3">
                  <c:v>1.9454625690517238</c:v>
                </c:pt>
                <c:pt idx="4">
                  <c:v>2.1654398666171271</c:v>
                </c:pt>
                <c:pt idx="5">
                  <c:v>2.4328957151842534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D16-4CAF-9434-89EC3A247993}"/>
            </c:ext>
          </c:extLst>
        </c:ser>
        <c:ser>
          <c:idx val="2"/>
          <c:order val="2"/>
          <c:tx>
            <c:v>45℃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'DZ90A1X 4320'!$B$41:$B$46</c:f>
              <c:numCache>
                <c:formatCode>General</c:formatCode>
                <c:ptCount val="6"/>
                <c:pt idx="0">
                  <c:v>-35</c:v>
                </c:pt>
                <c:pt idx="1">
                  <c:v>-30</c:v>
                </c:pt>
                <c:pt idx="2">
                  <c:v>-25</c:v>
                </c:pt>
                <c:pt idx="3">
                  <c:v>-20</c:v>
                </c:pt>
                <c:pt idx="4">
                  <c:v>-15</c:v>
                </c:pt>
                <c:pt idx="5">
                  <c:v>-10</c:v>
                </c:pt>
              </c:numCache>
            </c:numRef>
          </c:xVal>
          <c:yVal>
            <c:numRef>
              <c:f>'DZ90A1X 4320'!$G$41:$G$46</c:f>
              <c:numCache>
                <c:formatCode>0.00</c:formatCode>
                <c:ptCount val="6"/>
                <c:pt idx="0">
                  <c:v>1.6381714587996652</c:v>
                </c:pt>
                <c:pt idx="1">
                  <c:v>1.7537203290695449</c:v>
                </c:pt>
                <c:pt idx="2">
                  <c:v>1.9076304207149402</c:v>
                </c:pt>
                <c:pt idx="3">
                  <c:v>2.1046802271009315</c:v>
                </c:pt>
                <c:pt idx="4">
                  <c:v>2.3509214344963767</c:v>
                </c:pt>
                <c:pt idx="5">
                  <c:v>2.6547808063901019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D16-4CAF-9434-89EC3A247993}"/>
            </c:ext>
          </c:extLst>
        </c:ser>
        <c:ser>
          <c:idx val="3"/>
          <c:order val="3"/>
          <c:tx>
            <c:v>40℃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'DZ90A1X 4320'!$B$53:$B$58</c:f>
              <c:numCache>
                <c:formatCode>General</c:formatCode>
                <c:ptCount val="6"/>
                <c:pt idx="0">
                  <c:v>-35</c:v>
                </c:pt>
                <c:pt idx="1">
                  <c:v>-30</c:v>
                </c:pt>
                <c:pt idx="2">
                  <c:v>-25</c:v>
                </c:pt>
                <c:pt idx="3">
                  <c:v>-20</c:v>
                </c:pt>
                <c:pt idx="4">
                  <c:v>-15</c:v>
                </c:pt>
                <c:pt idx="5">
                  <c:v>-10</c:v>
                </c:pt>
              </c:numCache>
            </c:numRef>
          </c:xVal>
          <c:yVal>
            <c:numRef>
              <c:f>'DZ90A1X 4320'!$G$53:$G$58</c:f>
              <c:numCache>
                <c:formatCode>0.00</c:formatCode>
                <c:ptCount val="6"/>
                <c:pt idx="0">
                  <c:v>1.7769528070056444</c:v>
                </c:pt>
                <c:pt idx="1">
                  <c:v>1.9009188267742945</c:v>
                </c:pt>
                <c:pt idx="2">
                  <c:v>2.0704323035883525</c:v>
                </c:pt>
                <c:pt idx="3">
                  <c:v>2.2914174347463692</c:v>
                </c:pt>
                <c:pt idx="4">
                  <c:v>2.5719692866428692</c:v>
                </c:pt>
                <c:pt idx="5">
                  <c:v>2.9238012070737835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D16-4CAF-9434-89EC3A247993}"/>
            </c:ext>
          </c:extLst>
        </c:ser>
        <c:ser>
          <c:idx val="4"/>
          <c:order val="4"/>
          <c:tx>
            <c:v>35℃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'DZ90A1X 4320'!$B$65:$B$70</c:f>
              <c:numCache>
                <c:formatCode>General</c:formatCode>
                <c:ptCount val="6"/>
                <c:pt idx="0">
                  <c:v>-35</c:v>
                </c:pt>
                <c:pt idx="1">
                  <c:v>-30</c:v>
                </c:pt>
                <c:pt idx="2">
                  <c:v>-25</c:v>
                </c:pt>
                <c:pt idx="3">
                  <c:v>-20</c:v>
                </c:pt>
                <c:pt idx="4">
                  <c:v>-15</c:v>
                </c:pt>
                <c:pt idx="5">
                  <c:v>-10</c:v>
                </c:pt>
              </c:numCache>
            </c:numRef>
          </c:xVal>
          <c:yVal>
            <c:numRef>
              <c:f>'DZ90A1X 4320'!$G$65:$G$70</c:f>
              <c:numCache>
                <c:formatCode>0.00</c:formatCode>
                <c:ptCount val="6"/>
                <c:pt idx="0">
                  <c:v>1.9338625919821508</c:v>
                </c:pt>
                <c:pt idx="1">
                  <c:v>2.0702473597326456</c:v>
                </c:pt>
                <c:pt idx="2">
                  <c:v>2.2609352483203535</c:v>
                </c:pt>
                <c:pt idx="3">
                  <c:v>2.5137702343960147</c:v>
                </c:pt>
                <c:pt idx="4">
                  <c:v>2.8400945446051469</c:v>
                </c:pt>
                <c:pt idx="5">
                  <c:v>3.2568649322576837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D16-4CAF-9434-89EC3A2479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938496"/>
        <c:axId val="304220208"/>
      </c:scatterChart>
      <c:valAx>
        <c:axId val="208938496"/>
        <c:scaling>
          <c:orientation val="minMax"/>
          <c:max val="-5"/>
          <c:min val="-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Evaporating(℃)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220208"/>
        <c:crossesAt val="-200"/>
        <c:crossBetween val="midCat"/>
      </c:valAx>
      <c:valAx>
        <c:axId val="304220208"/>
        <c:scaling>
          <c:orientation val="minMax"/>
          <c:max val="3.3"/>
          <c:min val="1.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COP</a:t>
                </a:r>
              </a:p>
              <a:p>
                <a:pPr>
                  <a:defRPr/>
                </a:pPr>
                <a:r>
                  <a:rPr lang="en-US"/>
                  <a:t>(W/W@4500</a:t>
                </a:r>
                <a:r>
                  <a:rPr lang="en-US" altLang="zh-CN"/>
                  <a:t>rpm</a:t>
                </a:r>
                <a:r>
                  <a:rPr lang="en-US"/>
                  <a:t>)</a:t>
                </a:r>
                <a:endParaRPr lang="zh-CN"/>
              </a:p>
            </c:rich>
          </c:tx>
          <c:layout>
            <c:manualLayout>
              <c:xMode val="edge"/>
              <c:yMode val="edge"/>
              <c:x val="0.83941555555555558"/>
              <c:y val="2.3607843137254908E-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9384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7571269841269837E-2"/>
          <c:y val="0.163484808640599"/>
          <c:w val="0.10239904761904763"/>
          <c:h val="0.735578134576804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Condensing</a:t>
            </a:r>
            <a:endParaRPr lang="zh-CN" sz="1200"/>
          </a:p>
        </c:rich>
      </c:tx>
      <c:layout>
        <c:manualLayout>
          <c:xMode val="edge"/>
          <c:yMode val="edge"/>
          <c:x val="1.9021904761904757E-2"/>
          <c:y val="3.7702614379084981E-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397001234497249"/>
          <c:y val="0.13948039215686275"/>
          <c:w val="0.75373235118585313"/>
          <c:h val="0.74700522875816988"/>
        </c:manualLayout>
      </c:layout>
      <c:scatterChart>
        <c:scatterStyle val="smoothMarker"/>
        <c:varyColors val="0"/>
        <c:ser>
          <c:idx val="0"/>
          <c:order val="0"/>
          <c:tx>
            <c:v>55℃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'DZ90A1X 3000'!$B$6:$B$11</c:f>
              <c:numCache>
                <c:formatCode>General</c:formatCode>
                <c:ptCount val="6"/>
                <c:pt idx="0">
                  <c:v>-35</c:v>
                </c:pt>
                <c:pt idx="1">
                  <c:v>-30</c:v>
                </c:pt>
                <c:pt idx="2">
                  <c:v>-25</c:v>
                </c:pt>
                <c:pt idx="3">
                  <c:v>-20</c:v>
                </c:pt>
                <c:pt idx="4">
                  <c:v>-15</c:v>
                </c:pt>
                <c:pt idx="5">
                  <c:v>-10</c:v>
                </c:pt>
              </c:numCache>
            </c:numRef>
          </c:xVal>
          <c:yVal>
            <c:numRef>
              <c:f>'DZ90A1X 3000'!$C$6:$C$11</c:f>
              <c:numCache>
                <c:formatCode>0.0</c:formatCode>
                <c:ptCount val="6"/>
                <c:pt idx="0">
                  <c:v>98.203782559539377</c:v>
                </c:pt>
                <c:pt idx="1">
                  <c:v>123.51653978167045</c:v>
                </c:pt>
                <c:pt idx="2">
                  <c:v>154.44069829240473</c:v>
                </c:pt>
                <c:pt idx="3">
                  <c:v>191.89973470425559</c:v>
                </c:pt>
                <c:pt idx="4">
                  <c:v>236.81712562973669</c:v>
                </c:pt>
                <c:pt idx="5">
                  <c:v>290.11634768136128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B55-45F5-A965-309250FACD01}"/>
            </c:ext>
          </c:extLst>
        </c:ser>
        <c:ser>
          <c:idx val="1"/>
          <c:order val="1"/>
          <c:tx>
            <c:v>50℃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'DZ90A1X 3000'!$B$18:$B$23</c:f>
              <c:numCache>
                <c:formatCode>General</c:formatCode>
                <c:ptCount val="6"/>
                <c:pt idx="0">
                  <c:v>-35</c:v>
                </c:pt>
                <c:pt idx="1">
                  <c:v>-30</c:v>
                </c:pt>
                <c:pt idx="2">
                  <c:v>-25</c:v>
                </c:pt>
                <c:pt idx="3">
                  <c:v>-20</c:v>
                </c:pt>
                <c:pt idx="4">
                  <c:v>-15</c:v>
                </c:pt>
                <c:pt idx="5">
                  <c:v>-10</c:v>
                </c:pt>
              </c:numCache>
            </c:numRef>
          </c:xVal>
          <c:yVal>
            <c:numRef>
              <c:f>'DZ90A1X 3000'!$C$18:$C$23</c:f>
              <c:numCache>
                <c:formatCode>0.0</c:formatCode>
                <c:ptCount val="6"/>
                <c:pt idx="0">
                  <c:v>103.21395514014671</c:v>
                </c:pt>
                <c:pt idx="1">
                  <c:v>128.53072691342854</c:v>
                </c:pt>
                <c:pt idx="2">
                  <c:v>159.45982599419241</c:v>
                </c:pt>
                <c:pt idx="3">
                  <c:v>196.92472899495169</c:v>
                </c:pt>
                <c:pt idx="4">
                  <c:v>241.84891252822004</c:v>
                </c:pt>
                <c:pt idx="5">
                  <c:v>295.15585320651076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B55-45F5-A965-309250FACD01}"/>
            </c:ext>
          </c:extLst>
        </c:ser>
        <c:ser>
          <c:idx val="2"/>
          <c:order val="2"/>
          <c:tx>
            <c:v>45℃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'DZ90A1X 3000'!$B$30:$B$35</c:f>
              <c:numCache>
                <c:formatCode>General</c:formatCode>
                <c:ptCount val="6"/>
                <c:pt idx="0">
                  <c:v>-35</c:v>
                </c:pt>
                <c:pt idx="1">
                  <c:v>-30</c:v>
                </c:pt>
                <c:pt idx="2">
                  <c:v>-25</c:v>
                </c:pt>
                <c:pt idx="3">
                  <c:v>-20</c:v>
                </c:pt>
                <c:pt idx="4">
                  <c:v>-15</c:v>
                </c:pt>
                <c:pt idx="5">
                  <c:v>-10</c:v>
                </c:pt>
              </c:numCache>
            </c:numRef>
          </c:xVal>
          <c:yVal>
            <c:numRef>
              <c:f>'DZ90A1X 3000'!$C$30:$C$35</c:f>
              <c:numCache>
                <c:formatCode>0.0</c:formatCode>
                <c:ptCount val="6"/>
                <c:pt idx="0">
                  <c:v>108.22209666949459</c:v>
                </c:pt>
                <c:pt idx="1">
                  <c:v>133.54212113370886</c:v>
                </c:pt>
                <c:pt idx="2">
                  <c:v>164.47539892428406</c:v>
                </c:pt>
                <c:pt idx="3">
                  <c:v>201.94540665373353</c:v>
                </c:pt>
                <c:pt idx="4">
                  <c:v>246.87562093457089</c:v>
                </c:pt>
                <c:pt idx="5">
                  <c:v>300.1895183793095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B55-45F5-A965-309250FACD01}"/>
            </c:ext>
          </c:extLst>
        </c:ser>
        <c:ser>
          <c:idx val="3"/>
          <c:order val="3"/>
          <c:tx>
            <c:v>40℃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'DZ90A1X 3000'!$B$42:$B$47</c:f>
              <c:numCache>
                <c:formatCode>General</c:formatCode>
                <c:ptCount val="6"/>
                <c:pt idx="0">
                  <c:v>-35</c:v>
                </c:pt>
                <c:pt idx="1">
                  <c:v>-30</c:v>
                </c:pt>
                <c:pt idx="2">
                  <c:v>-25</c:v>
                </c:pt>
                <c:pt idx="3">
                  <c:v>-20</c:v>
                </c:pt>
                <c:pt idx="4">
                  <c:v>-15</c:v>
                </c:pt>
                <c:pt idx="5">
                  <c:v>-10</c:v>
                </c:pt>
              </c:numCache>
            </c:numRef>
          </c:xVal>
          <c:yVal>
            <c:numRef>
              <c:f>'DZ90A1X 3000'!$C$42:$C$47</c:f>
              <c:numCache>
                <c:formatCode>0.0</c:formatCode>
                <c:ptCount val="6"/>
                <c:pt idx="0">
                  <c:v>113.22820714758288</c:v>
                </c:pt>
                <c:pt idx="1">
                  <c:v>138.55072244251144</c:v>
                </c:pt>
                <c:pt idx="2">
                  <c:v>169.48741708267971</c:v>
                </c:pt>
                <c:pt idx="3">
                  <c:v>206.96176768060116</c:v>
                </c:pt>
                <c:pt idx="4">
                  <c:v>251.89725084878938</c:v>
                </c:pt>
                <c:pt idx="5">
                  <c:v>305.21734319975764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B55-45F5-A965-309250FACD01}"/>
            </c:ext>
          </c:extLst>
        </c:ser>
        <c:ser>
          <c:idx val="4"/>
          <c:order val="4"/>
          <c:tx>
            <c:v>35℃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'DZ90A1X 3000'!$B$54:$B$59</c:f>
              <c:numCache>
                <c:formatCode>General</c:formatCode>
                <c:ptCount val="6"/>
                <c:pt idx="0">
                  <c:v>-35</c:v>
                </c:pt>
                <c:pt idx="1">
                  <c:v>-30</c:v>
                </c:pt>
                <c:pt idx="2">
                  <c:v>-25</c:v>
                </c:pt>
                <c:pt idx="3">
                  <c:v>-20</c:v>
                </c:pt>
                <c:pt idx="4">
                  <c:v>-15</c:v>
                </c:pt>
                <c:pt idx="5">
                  <c:v>-10</c:v>
                </c:pt>
              </c:numCache>
            </c:numRef>
          </c:xVal>
          <c:yVal>
            <c:numRef>
              <c:f>'DZ90A1X 3000'!$C$54:$C$59</c:f>
              <c:numCache>
                <c:formatCode>0.0</c:formatCode>
                <c:ptCount val="6"/>
                <c:pt idx="0">
                  <c:v>118.23228657441166</c:v>
                </c:pt>
                <c:pt idx="1">
                  <c:v>143.55653083983623</c:v>
                </c:pt>
                <c:pt idx="2">
                  <c:v>174.49588046937936</c:v>
                </c:pt>
                <c:pt idx="3">
                  <c:v>211.97381207555452</c:v>
                </c:pt>
                <c:pt idx="4">
                  <c:v>256.91380227087524</c:v>
                </c:pt>
                <c:pt idx="5">
                  <c:v>310.23932766785492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B55-45F5-A965-309250FAC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4225248"/>
        <c:axId val="304225808"/>
      </c:scatterChart>
      <c:valAx>
        <c:axId val="304225248"/>
        <c:scaling>
          <c:orientation val="minMax"/>
          <c:max val="-5"/>
          <c:min val="-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Evaporating(℃)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225808"/>
        <c:crossesAt val="-200"/>
        <c:crossBetween val="midCat"/>
      </c:valAx>
      <c:valAx>
        <c:axId val="304225808"/>
        <c:scaling>
          <c:orientation val="minMax"/>
          <c:max val="35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/>
                  <a:t>Capacity</a:t>
                </a:r>
                <a:r>
                  <a:rPr lang="zh-CN" sz="1000"/>
                  <a:t> </a:t>
                </a:r>
                <a:r>
                  <a:rPr lang="en-US" sz="1000"/>
                  <a:t>(W@3000rpm)</a:t>
                </a:r>
                <a:endParaRPr lang="zh-CN" sz="1000"/>
              </a:p>
            </c:rich>
          </c:tx>
          <c:layout>
            <c:manualLayout>
              <c:xMode val="edge"/>
              <c:yMode val="edge"/>
              <c:x val="0.86225444444444443"/>
              <c:y val="2.5741830065359461E-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225248"/>
        <c:crosses val="autoZero"/>
        <c:crossBetween val="midCat"/>
        <c:majorUnit val="5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8825563888251501E-2"/>
          <c:y val="0.116197348429633"/>
          <c:w val="9.5283759769038204E-2"/>
          <c:h val="0.708022934583945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Condensing</a:t>
            </a:r>
            <a:endParaRPr lang="zh-CN" sz="1050"/>
          </a:p>
        </c:rich>
      </c:tx>
      <c:layout>
        <c:manualLayout>
          <c:xMode val="edge"/>
          <c:yMode val="edge"/>
          <c:x val="3.7164831492932301E-2"/>
          <c:y val="2.86720881201325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180914578139349"/>
          <c:y val="0.16023202614379084"/>
          <c:w val="0.75186146831124512"/>
          <c:h val="0.71484019607843119"/>
        </c:manualLayout>
      </c:layout>
      <c:scatterChart>
        <c:scatterStyle val="smoothMarker"/>
        <c:varyColors val="0"/>
        <c:ser>
          <c:idx val="0"/>
          <c:order val="0"/>
          <c:tx>
            <c:v>55℃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'DZ90A1X 3000'!$B$6:$B$11</c:f>
              <c:numCache>
                <c:formatCode>General</c:formatCode>
                <c:ptCount val="6"/>
                <c:pt idx="0">
                  <c:v>-35</c:v>
                </c:pt>
                <c:pt idx="1">
                  <c:v>-30</c:v>
                </c:pt>
                <c:pt idx="2">
                  <c:v>-25</c:v>
                </c:pt>
                <c:pt idx="3">
                  <c:v>-20</c:v>
                </c:pt>
                <c:pt idx="4">
                  <c:v>-15</c:v>
                </c:pt>
                <c:pt idx="5">
                  <c:v>-10</c:v>
                </c:pt>
              </c:numCache>
            </c:numRef>
          </c:xVal>
          <c:yVal>
            <c:numRef>
              <c:f>'DZ90A1X 3000'!$F$6:$F$11</c:f>
              <c:numCache>
                <c:formatCode>0.0</c:formatCode>
                <c:ptCount val="6"/>
                <c:pt idx="0">
                  <c:v>63.445349604334389</c:v>
                </c:pt>
                <c:pt idx="1">
                  <c:v>74.125656318397475</c:v>
                </c:pt>
                <c:pt idx="2">
                  <c:v>85.111416100694257</c:v>
                </c:pt>
                <c:pt idx="3">
                  <c:v>96.10105804447673</c:v>
                </c:pt>
                <c:pt idx="4">
                  <c:v>106.79301124299701</c:v>
                </c:pt>
                <c:pt idx="5">
                  <c:v>116.88570478950706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15F-4D75-9680-96893BF2F58C}"/>
            </c:ext>
          </c:extLst>
        </c:ser>
        <c:ser>
          <c:idx val="1"/>
          <c:order val="1"/>
          <c:tx>
            <c:v>50℃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'DZ90A1X 3000'!$B$18:$B$23</c:f>
              <c:numCache>
                <c:formatCode>General</c:formatCode>
                <c:ptCount val="6"/>
                <c:pt idx="0">
                  <c:v>-35</c:v>
                </c:pt>
                <c:pt idx="1">
                  <c:v>-30</c:v>
                </c:pt>
                <c:pt idx="2">
                  <c:v>-25</c:v>
                </c:pt>
                <c:pt idx="3">
                  <c:v>-20</c:v>
                </c:pt>
                <c:pt idx="4">
                  <c:v>-15</c:v>
                </c:pt>
                <c:pt idx="5">
                  <c:v>-10</c:v>
                </c:pt>
              </c:numCache>
            </c:numRef>
          </c:xVal>
          <c:yVal>
            <c:numRef>
              <c:f>'DZ90A1X 3000'!$F$18:$F$23</c:f>
              <c:numCache>
                <c:formatCode>0.0</c:formatCode>
                <c:ptCount val="6"/>
                <c:pt idx="0">
                  <c:v>61.086632057065032</c:v>
                </c:pt>
                <c:pt idx="1">
                  <c:v>71.047913721652364</c:v>
                </c:pt>
                <c:pt idx="2">
                  <c:v>81.161388677788182</c:v>
                </c:pt>
                <c:pt idx="3">
                  <c:v>91.12548601872453</c:v>
                </c:pt>
                <c:pt idx="4">
                  <c:v>100.63863483771348</c:v>
                </c:pt>
                <c:pt idx="5">
                  <c:v>109.39926422800703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15F-4D75-9680-96893BF2F58C}"/>
            </c:ext>
          </c:extLst>
        </c:ser>
        <c:ser>
          <c:idx val="2"/>
          <c:order val="2"/>
          <c:tx>
            <c:v>45℃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'DZ90A1X 3000'!$B$30:$B$35</c:f>
              <c:numCache>
                <c:formatCode>General</c:formatCode>
                <c:ptCount val="6"/>
                <c:pt idx="0">
                  <c:v>-35</c:v>
                </c:pt>
                <c:pt idx="1">
                  <c:v>-30</c:v>
                </c:pt>
                <c:pt idx="2">
                  <c:v>-25</c:v>
                </c:pt>
                <c:pt idx="3">
                  <c:v>-20</c:v>
                </c:pt>
                <c:pt idx="4">
                  <c:v>-15</c:v>
                </c:pt>
                <c:pt idx="5">
                  <c:v>-10</c:v>
                </c:pt>
              </c:numCache>
            </c:numRef>
          </c:xVal>
          <c:yVal>
            <c:numRef>
              <c:f>'DZ90A1X 3000'!$F$30:$F$35</c:f>
              <c:numCache>
                <c:formatCode>0.0</c:formatCode>
                <c:ptCount val="6"/>
                <c:pt idx="0">
                  <c:v>58.611992207973564</c:v>
                </c:pt>
                <c:pt idx="1">
                  <c:v>67.813028320455288</c:v>
                </c:pt>
                <c:pt idx="2">
                  <c:v>77.012997947800315</c:v>
                </c:pt>
                <c:pt idx="3">
                  <c:v>85.910330183260697</c:v>
                </c:pt>
                <c:pt idx="4">
                  <c:v>94.203454120088495</c:v>
                </c:pt>
                <c:pt idx="5">
                  <c:v>101.59079885153571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15F-4D75-9680-96893BF2F58C}"/>
            </c:ext>
          </c:extLst>
        </c:ser>
        <c:ser>
          <c:idx val="3"/>
          <c:order val="3"/>
          <c:tx>
            <c:v>40℃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'DZ90A1X 3000'!$B$42:$B$47</c:f>
              <c:numCache>
                <c:formatCode>General</c:formatCode>
                <c:ptCount val="6"/>
                <c:pt idx="0">
                  <c:v>-35</c:v>
                </c:pt>
                <c:pt idx="1">
                  <c:v>-30</c:v>
                </c:pt>
                <c:pt idx="2">
                  <c:v>-25</c:v>
                </c:pt>
                <c:pt idx="3">
                  <c:v>-20</c:v>
                </c:pt>
                <c:pt idx="4">
                  <c:v>-15</c:v>
                </c:pt>
                <c:pt idx="5">
                  <c:v>-10</c:v>
                </c:pt>
              </c:numCache>
            </c:numRef>
          </c:xVal>
          <c:yVal>
            <c:numRef>
              <c:f>'DZ90A1X 3000'!$F$42:$F$47</c:f>
              <c:numCache>
                <c:formatCode>0.0</c:formatCode>
                <c:ptCount val="6"/>
                <c:pt idx="0">
                  <c:v>56.014917031147441</c:v>
                </c:pt>
                <c:pt idx="1">
                  <c:v>64.414487088893722</c:v>
                </c:pt>
                <c:pt idx="2">
                  <c:v>72.659730884818146</c:v>
                </c:pt>
                <c:pt idx="3">
                  <c:v>80.449077512172735</c:v>
                </c:pt>
                <c:pt idx="4">
                  <c:v>87.480956064209494</c:v>
                </c:pt>
                <c:pt idx="5">
                  <c:v>93.453795634180565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15F-4D75-9680-96893BF2F58C}"/>
            </c:ext>
          </c:extLst>
        </c:ser>
        <c:ser>
          <c:idx val="4"/>
          <c:order val="4"/>
          <c:tx>
            <c:v>35℃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'DZ90A1X 3000'!$B$54:$B$59</c:f>
              <c:numCache>
                <c:formatCode>General</c:formatCode>
                <c:ptCount val="6"/>
                <c:pt idx="0">
                  <c:v>-35</c:v>
                </c:pt>
                <c:pt idx="1">
                  <c:v>-30</c:v>
                </c:pt>
                <c:pt idx="2">
                  <c:v>-25</c:v>
                </c:pt>
                <c:pt idx="3">
                  <c:v>-20</c:v>
                </c:pt>
                <c:pt idx="4">
                  <c:v>-15</c:v>
                </c:pt>
                <c:pt idx="5">
                  <c:v>-10</c:v>
                </c:pt>
              </c:numCache>
            </c:numRef>
          </c:xVal>
          <c:yVal>
            <c:numRef>
              <c:f>'DZ90A1X 3000'!$F$54:$F$59</c:f>
              <c:numCache>
                <c:formatCode>0.0</c:formatCode>
                <c:ptCount val="6"/>
                <c:pt idx="0">
                  <c:v>53.288893500674192</c:v>
                </c:pt>
                <c:pt idx="1">
                  <c:v>60.845777001055183</c:v>
                </c:pt>
                <c:pt idx="2">
                  <c:v>68.095074462929205</c:v>
                </c:pt>
                <c:pt idx="3">
                  <c:v>74.735214979548118</c:v>
                </c:pt>
                <c:pt idx="4">
                  <c:v>80.464627644164096</c:v>
                </c:pt>
                <c:pt idx="5">
                  <c:v>84.981741550029142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15F-4D75-9680-96893BF2F5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4230848"/>
        <c:axId val="304231408"/>
      </c:scatterChart>
      <c:valAx>
        <c:axId val="304230848"/>
        <c:scaling>
          <c:orientation val="minMax"/>
          <c:max val="-5"/>
          <c:min val="-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Evaporating(℃)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231408"/>
        <c:crossesAt val="-200"/>
        <c:crossBetween val="midCat"/>
      </c:valAx>
      <c:valAx>
        <c:axId val="30423140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lang="zh-CN"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/>
                  <a:t>Input power</a:t>
                </a:r>
                <a:r>
                  <a:rPr lang="zh-CN" sz="1050"/>
                  <a:t> </a:t>
                </a:r>
                <a:r>
                  <a:rPr lang="en-US" sz="1050"/>
                  <a:t>(W@3000rpm)</a:t>
                </a:r>
                <a:endParaRPr lang="zh-CN" sz="1050"/>
              </a:p>
            </c:rich>
          </c:tx>
          <c:layout>
            <c:manualLayout>
              <c:xMode val="edge"/>
              <c:yMode val="edge"/>
              <c:x val="0.85822269841269838"/>
              <c:y val="6.7245098039215674E-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lang="zh-CN"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230848"/>
        <c:crosses val="autoZero"/>
        <c:crossBetween val="midCat"/>
        <c:majorUnit val="2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0823074217376E-2"/>
          <c:y val="0.137701687399926"/>
          <c:w val="0.114948997537812"/>
          <c:h val="0.644660672496612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Condensing</a:t>
            </a:r>
            <a:endParaRPr lang="zh-CN" sz="1050"/>
          </a:p>
        </c:rich>
      </c:tx>
      <c:layout>
        <c:manualLayout>
          <c:xMode val="edge"/>
          <c:yMode val="edge"/>
          <c:x val="2.70262711684984E-2"/>
          <c:y val="6.4347617148889993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391814063229643"/>
          <c:y val="0.15193137254901962"/>
          <c:w val="0.7517683491311864"/>
          <c:h val="0.72021699346405232"/>
        </c:manualLayout>
      </c:layout>
      <c:scatterChart>
        <c:scatterStyle val="smoothMarker"/>
        <c:varyColors val="0"/>
        <c:ser>
          <c:idx val="0"/>
          <c:order val="0"/>
          <c:tx>
            <c:v>55℃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'DZ90A1X 3000'!$B$6:$B$11</c:f>
              <c:numCache>
                <c:formatCode>General</c:formatCode>
                <c:ptCount val="6"/>
                <c:pt idx="0">
                  <c:v>-35</c:v>
                </c:pt>
                <c:pt idx="1">
                  <c:v>-30</c:v>
                </c:pt>
                <c:pt idx="2">
                  <c:v>-25</c:v>
                </c:pt>
                <c:pt idx="3">
                  <c:v>-20</c:v>
                </c:pt>
                <c:pt idx="4">
                  <c:v>-15</c:v>
                </c:pt>
                <c:pt idx="5">
                  <c:v>-10</c:v>
                </c:pt>
              </c:numCache>
            </c:numRef>
          </c:xVal>
          <c:yVal>
            <c:numRef>
              <c:f>'DZ90A1X 3000'!$G$6:$G$11</c:f>
              <c:numCache>
                <c:formatCode>0.00</c:formatCode>
                <c:ptCount val="6"/>
                <c:pt idx="0">
                  <c:v>1.5478483950670894</c:v>
                </c:pt>
                <c:pt idx="1">
                  <c:v>1.6663129328814388</c:v>
                </c:pt>
                <c:pt idx="2">
                  <c:v>1.8145708926953803</c:v>
                </c:pt>
                <c:pt idx="3">
                  <c:v>1.9968535061855623</c:v>
                </c:pt>
                <c:pt idx="4">
                  <c:v>2.2175339272986934</c:v>
                </c:pt>
                <c:pt idx="5">
                  <c:v>2.4820515751161838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8B2-484B-A117-1C8C96EB54B1}"/>
            </c:ext>
          </c:extLst>
        </c:ser>
        <c:ser>
          <c:idx val="1"/>
          <c:order val="1"/>
          <c:tx>
            <c:v>50℃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'DZ90A1X 3000'!$B$18:$B$23</c:f>
              <c:numCache>
                <c:formatCode>General</c:formatCode>
                <c:ptCount val="6"/>
                <c:pt idx="0">
                  <c:v>-35</c:v>
                </c:pt>
                <c:pt idx="1">
                  <c:v>-30</c:v>
                </c:pt>
                <c:pt idx="2">
                  <c:v>-25</c:v>
                </c:pt>
                <c:pt idx="3">
                  <c:v>-20</c:v>
                </c:pt>
                <c:pt idx="4">
                  <c:v>-15</c:v>
                </c:pt>
                <c:pt idx="5">
                  <c:v>-10</c:v>
                </c:pt>
              </c:numCache>
            </c:numRef>
          </c:xVal>
          <c:yVal>
            <c:numRef>
              <c:f>'DZ90A1X 3000'!$G$18:$G$23</c:f>
              <c:numCache>
                <c:formatCode>0.00</c:formatCode>
                <c:ptCount val="6"/>
                <c:pt idx="0">
                  <c:v>1.6896324394464535</c:v>
                </c:pt>
                <c:pt idx="1">
                  <c:v>1.8090710927414309</c:v>
                </c:pt>
                <c:pt idx="2">
                  <c:v>1.9647252048292334</c:v>
                </c:pt>
                <c:pt idx="3">
                  <c:v>2.1610280240863404</c:v>
                </c:pt>
                <c:pt idx="4">
                  <c:v>2.40314182439197</c:v>
                </c:pt>
                <c:pt idx="5">
                  <c:v>2.6979692714509924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8B2-484B-A117-1C8C96EB54B1}"/>
            </c:ext>
          </c:extLst>
        </c:ser>
        <c:ser>
          <c:idx val="2"/>
          <c:order val="2"/>
          <c:tx>
            <c:v>45℃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'DZ90A1X 3000'!$B$30:$B$35</c:f>
              <c:numCache>
                <c:formatCode>General</c:formatCode>
                <c:ptCount val="6"/>
                <c:pt idx="0">
                  <c:v>-35</c:v>
                </c:pt>
                <c:pt idx="1">
                  <c:v>-30</c:v>
                </c:pt>
                <c:pt idx="2">
                  <c:v>-25</c:v>
                </c:pt>
                <c:pt idx="3">
                  <c:v>-20</c:v>
                </c:pt>
                <c:pt idx="4">
                  <c:v>-15</c:v>
                </c:pt>
                <c:pt idx="5">
                  <c:v>-10</c:v>
                </c:pt>
              </c:numCache>
            </c:numRef>
          </c:xVal>
          <c:yVal>
            <c:numRef>
              <c:f>'DZ90A1X 3000'!$G$30:$G$35</c:f>
              <c:numCache>
                <c:formatCode>0.00</c:formatCode>
                <c:ptCount val="6"/>
                <c:pt idx="0">
                  <c:v>1.8464155984578883</c:v>
                </c:pt>
                <c:pt idx="1">
                  <c:v>1.9692693932299568</c:v>
                </c:pt>
                <c:pt idx="2">
                  <c:v>2.1356836288306305</c:v>
                </c:pt>
                <c:pt idx="3">
                  <c:v>2.3506533640710163</c:v>
                </c:pt>
                <c:pt idx="4">
                  <c:v>2.6206642127990261</c:v>
                </c:pt>
                <c:pt idx="5">
                  <c:v>2.9548888459672904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8B2-484B-A117-1C8C96EB54B1}"/>
            </c:ext>
          </c:extLst>
        </c:ser>
        <c:ser>
          <c:idx val="3"/>
          <c:order val="3"/>
          <c:tx>
            <c:v>40℃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'DZ90A1X 3000'!$B$42:$B$47</c:f>
              <c:numCache>
                <c:formatCode>General</c:formatCode>
                <c:ptCount val="6"/>
                <c:pt idx="0">
                  <c:v>-35</c:v>
                </c:pt>
                <c:pt idx="1">
                  <c:v>-30</c:v>
                </c:pt>
                <c:pt idx="2">
                  <c:v>-25</c:v>
                </c:pt>
                <c:pt idx="3">
                  <c:v>-20</c:v>
                </c:pt>
                <c:pt idx="4">
                  <c:v>-15</c:v>
                </c:pt>
                <c:pt idx="5">
                  <c:v>-10</c:v>
                </c:pt>
              </c:numCache>
            </c:numRef>
          </c:xVal>
          <c:yVal>
            <c:numRef>
              <c:f>'DZ90A1X 3000'!$G$42:$G$47</c:f>
              <c:numCache>
                <c:formatCode>0.00</c:formatCode>
                <c:ptCount val="6"/>
                <c:pt idx="0">
                  <c:v>2.0213938205892839</c:v>
                </c:pt>
                <c:pt idx="1">
                  <c:v>2.1509248727123715</c:v>
                </c:pt>
                <c:pt idx="2">
                  <c:v>2.3326182882696744</c:v>
                </c:pt>
                <c:pt idx="3">
                  <c:v>2.5725809926072278</c:v>
                </c:pt>
                <c:pt idx="4">
                  <c:v>2.879452422352371</c:v>
                </c:pt>
                <c:pt idx="5">
                  <c:v>3.2659705379384816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8B2-484B-A117-1C8C96EB54B1}"/>
            </c:ext>
          </c:extLst>
        </c:ser>
        <c:ser>
          <c:idx val="4"/>
          <c:order val="4"/>
          <c:tx>
            <c:v>35℃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'DZ90A1X 3000'!$B$54:$B$59</c:f>
              <c:numCache>
                <c:formatCode>General</c:formatCode>
                <c:ptCount val="6"/>
                <c:pt idx="0">
                  <c:v>-35</c:v>
                </c:pt>
                <c:pt idx="1">
                  <c:v>-30</c:v>
                </c:pt>
                <c:pt idx="2">
                  <c:v>-25</c:v>
                </c:pt>
                <c:pt idx="3">
                  <c:v>-20</c:v>
                </c:pt>
                <c:pt idx="4">
                  <c:v>-15</c:v>
                </c:pt>
                <c:pt idx="5">
                  <c:v>-10</c:v>
                </c:pt>
              </c:numCache>
            </c:numRef>
          </c:xVal>
          <c:yVal>
            <c:numRef>
              <c:f>'DZ90A1X 3000'!$G$54:$G$59</c:f>
              <c:numCache>
                <c:formatCode>0.00</c:formatCode>
                <c:ptCount val="6"/>
                <c:pt idx="0">
                  <c:v>2.2187041015012974</c:v>
                </c:pt>
                <c:pt idx="1">
                  <c:v>2.3593507703475738</c:v>
                </c:pt>
                <c:pt idx="2">
                  <c:v>2.5625330737302372</c:v>
                </c:pt>
                <c:pt idx="3">
                  <c:v>2.8363310674032696</c:v>
                </c:pt>
                <c:pt idx="4">
                  <c:v>3.1928787815562405</c:v>
                </c:pt>
                <c:pt idx="5">
                  <c:v>3.6506586239494232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8B2-484B-A117-1C8C96EB54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151936"/>
        <c:axId val="305152496"/>
      </c:scatterChart>
      <c:valAx>
        <c:axId val="305151936"/>
        <c:scaling>
          <c:orientation val="minMax"/>
          <c:max val="-5"/>
          <c:min val="-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Evaporating(℃)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152496"/>
        <c:crossesAt val="-200"/>
        <c:crossBetween val="midCat"/>
      </c:valAx>
      <c:valAx>
        <c:axId val="305152496"/>
        <c:scaling>
          <c:orientation val="minMax"/>
          <c:max val="3.8"/>
          <c:min val="1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lang="zh-CN"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/>
                  <a:t>COP</a:t>
                </a:r>
              </a:p>
              <a:p>
                <a:pPr>
                  <a:defRPr sz="1050"/>
                </a:pPr>
                <a:r>
                  <a:rPr lang="en-US" sz="1050"/>
                  <a:t>(W/W@3000rpm)</a:t>
                </a:r>
                <a:endParaRPr lang="zh-CN" sz="1050"/>
              </a:p>
            </c:rich>
          </c:tx>
          <c:layout>
            <c:manualLayout>
              <c:xMode val="edge"/>
              <c:yMode val="edge"/>
              <c:x val="0.82999126984126981"/>
              <c:y val="1.0874836601307187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lang="zh-CN"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151936"/>
        <c:crosses val="autoZero"/>
        <c:crossBetween val="midCat"/>
        <c:majorUnit val="0.4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0811871370566001E-2"/>
          <c:y val="0.13770388537498399"/>
          <c:w val="0.10413333333333333"/>
          <c:h val="0.862296205335456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Condensing</a:t>
            </a:r>
            <a:endParaRPr lang="zh-CN" sz="1100"/>
          </a:p>
        </c:rich>
      </c:tx>
      <c:layout>
        <c:manualLayout>
          <c:xMode val="edge"/>
          <c:yMode val="edge"/>
          <c:x val="7.9822055231222686E-3"/>
          <c:y val="1.4955464103249983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38411900056413"/>
          <c:y val="0.15318856209150328"/>
          <c:w val="0.79805461540140732"/>
          <c:h val="0.67344150326797392"/>
        </c:manualLayout>
      </c:layout>
      <c:scatterChart>
        <c:scatterStyle val="smoothMarker"/>
        <c:varyColors val="0"/>
        <c:ser>
          <c:idx val="0"/>
          <c:order val="0"/>
          <c:tx>
            <c:v>55℃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'DZ90A1X 1620'!$B$6:$B$11</c:f>
              <c:numCache>
                <c:formatCode>General</c:formatCode>
                <c:ptCount val="6"/>
                <c:pt idx="0">
                  <c:v>-35</c:v>
                </c:pt>
                <c:pt idx="1">
                  <c:v>-30</c:v>
                </c:pt>
                <c:pt idx="2">
                  <c:v>-25</c:v>
                </c:pt>
                <c:pt idx="3">
                  <c:v>-20</c:v>
                </c:pt>
                <c:pt idx="4">
                  <c:v>-15</c:v>
                </c:pt>
                <c:pt idx="5">
                  <c:v>-10</c:v>
                </c:pt>
              </c:numCache>
            </c:numRef>
          </c:xVal>
          <c:yVal>
            <c:numRef>
              <c:f>'DZ90A1X 1620'!$C$6:$C$11</c:f>
              <c:numCache>
                <c:formatCode>0.0</c:formatCode>
                <c:ptCount val="6"/>
                <c:pt idx="0">
                  <c:v>52.05590807065272</c:v>
                </c:pt>
                <c:pt idx="1">
                  <c:v>65.54594036268665</c:v>
                </c:pt>
                <c:pt idx="2">
                  <c:v>82.026479928287557</c:v>
                </c:pt>
                <c:pt idx="3">
                  <c:v>101.98967897412422</c:v>
                </c:pt>
                <c:pt idx="4">
                  <c:v>125.92768970686566</c:v>
                </c:pt>
                <c:pt idx="5">
                  <c:v>154.33266433318059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9B5-480C-945A-CC760F863A9B}"/>
            </c:ext>
          </c:extLst>
        </c:ser>
        <c:ser>
          <c:idx val="1"/>
          <c:order val="1"/>
          <c:tx>
            <c:v>50℃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'DZ90A1X 1620'!$B$18:$B$23</c:f>
              <c:numCache>
                <c:formatCode>General</c:formatCode>
                <c:ptCount val="6"/>
                <c:pt idx="0">
                  <c:v>-35</c:v>
                </c:pt>
                <c:pt idx="1">
                  <c:v>-30</c:v>
                </c:pt>
                <c:pt idx="2">
                  <c:v>-25</c:v>
                </c:pt>
                <c:pt idx="3">
                  <c:v>-20</c:v>
                </c:pt>
                <c:pt idx="4">
                  <c:v>-15</c:v>
                </c:pt>
                <c:pt idx="5">
                  <c:v>-10</c:v>
                </c:pt>
              </c:numCache>
            </c:numRef>
          </c:xVal>
          <c:yVal>
            <c:numRef>
              <c:f>'DZ90A1X 1620'!$C$18:$C$23</c:f>
              <c:numCache>
                <c:formatCode>0.0</c:formatCode>
                <c:ptCount val="6"/>
                <c:pt idx="0">
                  <c:v>57.061329386066213</c:v>
                </c:pt>
                <c:pt idx="1">
                  <c:v>70.553501169431968</c:v>
                </c:pt>
                <c:pt idx="2">
                  <c:v>87.036673733431883</c:v>
                </c:pt>
                <c:pt idx="3">
                  <c:v>107.00299928473473</c:v>
                </c:pt>
                <c:pt idx="4">
                  <c:v>130.94463003000948</c:v>
                </c:pt>
                <c:pt idx="5">
                  <c:v>159.35371817592491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9B5-480C-945A-CC760F863A9B}"/>
            </c:ext>
          </c:extLst>
        </c:ser>
        <c:ser>
          <c:idx val="2"/>
          <c:order val="2"/>
          <c:tx>
            <c:v>45℃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'DZ90A1X 1620'!$B$30:$B$35</c:f>
              <c:numCache>
                <c:formatCode>0</c:formatCode>
                <c:ptCount val="6"/>
                <c:pt idx="0">
                  <c:v>-35</c:v>
                </c:pt>
                <c:pt idx="1">
                  <c:v>-30</c:v>
                </c:pt>
                <c:pt idx="2">
                  <c:v>-25</c:v>
                </c:pt>
                <c:pt idx="3">
                  <c:v>-20</c:v>
                </c:pt>
                <c:pt idx="4">
                  <c:v>-15</c:v>
                </c:pt>
                <c:pt idx="5">
                  <c:v>-10</c:v>
                </c:pt>
              </c:numCache>
            </c:numRef>
          </c:xVal>
          <c:yVal>
            <c:numRef>
              <c:f>'DZ90A1X 1620'!$C$30:$C$36</c:f>
              <c:numCache>
                <c:formatCode>0.0</c:formatCode>
                <c:ptCount val="7"/>
                <c:pt idx="0">
                  <c:v>62.06566828494023</c:v>
                </c:pt>
                <c:pt idx="1">
                  <c:v>75.559573538323889</c:v>
                </c:pt>
                <c:pt idx="2">
                  <c:v>92.044973079408862</c:v>
                </c:pt>
                <c:pt idx="3">
                  <c:v>112.01401911486397</c:v>
                </c:pt>
                <c:pt idx="4">
                  <c:v>135.95886385135813</c:v>
                </c:pt>
                <c:pt idx="5">
                  <c:v>164.37165949556018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9B5-480C-945A-CC760F863A9B}"/>
            </c:ext>
          </c:extLst>
        </c:ser>
        <c:ser>
          <c:idx val="3"/>
          <c:order val="3"/>
          <c:tx>
            <c:v>40℃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'DZ90A1X 1620'!$B$42:$B$47</c:f>
              <c:numCache>
                <c:formatCode>General</c:formatCode>
                <c:ptCount val="6"/>
                <c:pt idx="0">
                  <c:v>-35</c:v>
                </c:pt>
                <c:pt idx="1">
                  <c:v>-30</c:v>
                </c:pt>
                <c:pt idx="2">
                  <c:v>-25</c:v>
                </c:pt>
                <c:pt idx="3">
                  <c:v>-20</c:v>
                </c:pt>
                <c:pt idx="4">
                  <c:v>-15</c:v>
                </c:pt>
                <c:pt idx="5">
                  <c:v>-10</c:v>
                </c:pt>
              </c:numCache>
            </c:numRef>
          </c:xVal>
          <c:yVal>
            <c:numRef>
              <c:f>'DZ90A1X 1620'!$C$42:$C$47</c:f>
              <c:numCache>
                <c:formatCode>0.0</c:formatCode>
                <c:ptCount val="6"/>
                <c:pt idx="0">
                  <c:v>67.068924767274709</c:v>
                </c:pt>
                <c:pt idx="1">
                  <c:v>80.564157469362385</c:v>
                </c:pt>
                <c:pt idx="2">
                  <c:v>97.051377966218524</c:v>
                </c:pt>
                <c:pt idx="3">
                  <c:v>117.02273846451197</c:v>
                </c:pt>
                <c:pt idx="4">
                  <c:v>140.97039117091168</c:v>
                </c:pt>
                <c:pt idx="5">
                  <c:v>169.38648829208643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9B5-480C-945A-CC760F863A9B}"/>
            </c:ext>
          </c:extLst>
        </c:ser>
        <c:ser>
          <c:idx val="4"/>
          <c:order val="4"/>
          <c:tx>
            <c:v>35℃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'DZ90A1X 1620'!$B$54:$B$59</c:f>
              <c:numCache>
                <c:formatCode>General</c:formatCode>
                <c:ptCount val="6"/>
                <c:pt idx="0">
                  <c:v>-35</c:v>
                </c:pt>
                <c:pt idx="1">
                  <c:v>-30</c:v>
                </c:pt>
                <c:pt idx="2">
                  <c:v>-25</c:v>
                </c:pt>
                <c:pt idx="3">
                  <c:v>-20</c:v>
                </c:pt>
                <c:pt idx="4">
                  <c:v>-15</c:v>
                </c:pt>
                <c:pt idx="5">
                  <c:v>-10</c:v>
                </c:pt>
              </c:numCache>
            </c:numRef>
          </c:xVal>
          <c:yVal>
            <c:numRef>
              <c:f>'DZ90A1X 1620'!$C$54:$C$59</c:f>
              <c:numCache>
                <c:formatCode>0.0</c:formatCode>
                <c:ptCount val="6"/>
                <c:pt idx="0">
                  <c:v>72.071098833069698</c:v>
                </c:pt>
                <c:pt idx="1">
                  <c:v>85.567252962547457</c:v>
                </c:pt>
                <c:pt idx="2">
                  <c:v>102.05588839386084</c:v>
                </c:pt>
                <c:pt idx="3">
                  <c:v>122.02915733367874</c:v>
                </c:pt>
                <c:pt idx="4">
                  <c:v>145.97921198867004</c:v>
                </c:pt>
                <c:pt idx="5">
                  <c:v>174.39820456550356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9B5-480C-945A-CC760F863A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157536"/>
        <c:axId val="305158096"/>
      </c:scatterChart>
      <c:valAx>
        <c:axId val="305157536"/>
        <c:scaling>
          <c:orientation val="minMax"/>
          <c:max val="-5"/>
          <c:min val="-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Evaporating(℃)</a:t>
                </a:r>
                <a:endParaRPr lang="zh-CN" sz="11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158096"/>
        <c:crossesAt val="-200"/>
        <c:crossBetween val="midCat"/>
      </c:valAx>
      <c:valAx>
        <c:axId val="305158096"/>
        <c:scaling>
          <c:orientation val="minMax"/>
          <c:max val="19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Capacity</a:t>
                </a:r>
                <a:r>
                  <a:rPr lang="zh-CN"/>
                  <a:t> </a:t>
                </a:r>
                <a:endParaRPr lang="en-US" altLang="zh-CN"/>
              </a:p>
              <a:p>
                <a:pPr>
                  <a:defRPr/>
                </a:pPr>
                <a:r>
                  <a:rPr lang="en-US"/>
                  <a:t>(W@1620rpm)</a:t>
                </a:r>
                <a:endParaRPr lang="zh-CN"/>
              </a:p>
            </c:rich>
          </c:tx>
          <c:layout>
            <c:manualLayout>
              <c:xMode val="edge"/>
              <c:yMode val="edge"/>
              <c:x val="0.85702984090572998"/>
              <c:y val="4.6150572768965947E-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157536"/>
        <c:crosses val="autoZero"/>
        <c:crossBetween val="midCat"/>
        <c:majorUnit val="5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1338365713462245E-2"/>
          <c:y val="0.13163235294117648"/>
          <c:w val="0.10235080468566354"/>
          <c:h val="0.666952121966117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Condensing</a:t>
            </a:r>
            <a:endParaRPr lang="zh-CN" sz="1100"/>
          </a:p>
        </c:rich>
      </c:tx>
      <c:layout>
        <c:manualLayout>
          <c:xMode val="edge"/>
          <c:yMode val="edge"/>
          <c:x val="8.0129842086563222E-3"/>
          <c:y val="1.0212391136324739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962074082721371"/>
          <c:y val="0.17213751262286281"/>
          <c:w val="0.77916253559336035"/>
          <c:h val="0.6379535827491114"/>
        </c:manualLayout>
      </c:layout>
      <c:scatterChart>
        <c:scatterStyle val="smoothMarker"/>
        <c:varyColors val="0"/>
        <c:ser>
          <c:idx val="0"/>
          <c:order val="0"/>
          <c:tx>
            <c:v>55℃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'DZ90A1X 1620'!$B$6:$B$11</c:f>
              <c:numCache>
                <c:formatCode>General</c:formatCode>
                <c:ptCount val="6"/>
                <c:pt idx="0">
                  <c:v>-35</c:v>
                </c:pt>
                <c:pt idx="1">
                  <c:v>-30</c:v>
                </c:pt>
                <c:pt idx="2">
                  <c:v>-25</c:v>
                </c:pt>
                <c:pt idx="3">
                  <c:v>-20</c:v>
                </c:pt>
                <c:pt idx="4">
                  <c:v>-15</c:v>
                </c:pt>
                <c:pt idx="5">
                  <c:v>-10</c:v>
                </c:pt>
              </c:numCache>
            </c:numRef>
          </c:xVal>
          <c:yVal>
            <c:numRef>
              <c:f>'DZ90A1X 1620'!$F$6:$F$11</c:f>
              <c:numCache>
                <c:formatCode>0.0</c:formatCode>
                <c:ptCount val="6"/>
                <c:pt idx="0">
                  <c:v>33.812192304106354</c:v>
                </c:pt>
                <c:pt idx="1">
                  <c:v>39.504092289445367</c:v>
                </c:pt>
                <c:pt idx="2">
                  <c:v>45.358778640489753</c:v>
                </c:pt>
                <c:pt idx="3">
                  <c:v>51.215533927894789</c:v>
                </c:pt>
                <c:pt idx="4">
                  <c:v>56.913640722315776</c:v>
                </c:pt>
                <c:pt idx="5">
                  <c:v>62.292381594407956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C4E-4EF9-B31B-8998FA20263A}"/>
            </c:ext>
          </c:extLst>
        </c:ser>
        <c:ser>
          <c:idx val="1"/>
          <c:order val="1"/>
          <c:tx>
            <c:v>50℃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'DZ90A1X 1620'!$B$18:$B$23</c:f>
              <c:numCache>
                <c:formatCode>General</c:formatCode>
                <c:ptCount val="6"/>
                <c:pt idx="0">
                  <c:v>-35</c:v>
                </c:pt>
                <c:pt idx="1">
                  <c:v>-30</c:v>
                </c:pt>
                <c:pt idx="2">
                  <c:v>-25</c:v>
                </c:pt>
                <c:pt idx="3">
                  <c:v>-20</c:v>
                </c:pt>
                <c:pt idx="4">
                  <c:v>-15</c:v>
                </c:pt>
                <c:pt idx="5">
                  <c:v>-10</c:v>
                </c:pt>
              </c:numCache>
            </c:numRef>
          </c:xVal>
          <c:yVal>
            <c:numRef>
              <c:f>'DZ90A1X 1620'!$F$18:$F$23</c:f>
              <c:numCache>
                <c:formatCode>0.0</c:formatCode>
                <c:ptCount val="6"/>
                <c:pt idx="0">
                  <c:v>32.555151216040649</c:v>
                </c:pt>
                <c:pt idx="1">
                  <c:v>37.863858210940485</c:v>
                </c:pt>
                <c:pt idx="2">
                  <c:v>43.253674205527837</c:v>
                </c:pt>
                <c:pt idx="3">
                  <c:v>48.563881770457989</c:v>
                </c:pt>
                <c:pt idx="4">
                  <c:v>53.633763476386228</c:v>
                </c:pt>
                <c:pt idx="5">
                  <c:v>58.302601893967818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C4E-4EF9-B31B-8998FA20263A}"/>
            </c:ext>
          </c:extLst>
        </c:ser>
        <c:ser>
          <c:idx val="2"/>
          <c:order val="2"/>
          <c:tx>
            <c:v>45℃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'DZ90A1X 1620'!$B$30:$B$35</c:f>
              <c:numCache>
                <c:formatCode>0</c:formatCode>
                <c:ptCount val="6"/>
                <c:pt idx="0">
                  <c:v>-35</c:v>
                </c:pt>
                <c:pt idx="1">
                  <c:v>-30</c:v>
                </c:pt>
                <c:pt idx="2">
                  <c:v>-25</c:v>
                </c:pt>
                <c:pt idx="3">
                  <c:v>-20</c:v>
                </c:pt>
                <c:pt idx="4">
                  <c:v>-15</c:v>
                </c:pt>
                <c:pt idx="5">
                  <c:v>-10</c:v>
                </c:pt>
              </c:numCache>
            </c:numRef>
          </c:xVal>
          <c:yVal>
            <c:numRef>
              <c:f>'DZ90A1X 1620'!$F$30:$F$35</c:f>
              <c:numCache>
                <c:formatCode>0.0</c:formatCode>
                <c:ptCount val="6"/>
                <c:pt idx="0">
                  <c:v>31.236331176704478</c:v>
                </c:pt>
                <c:pt idx="1">
                  <c:v>36.139877368386351</c:v>
                </c:pt>
                <c:pt idx="2">
                  <c:v>41.0428551937379</c:v>
                </c:pt>
                <c:pt idx="3">
                  <c:v>45.784547223414386</c:v>
                </c:pt>
                <c:pt idx="4">
                  <c:v>50.204236028071115</c:v>
                </c:pt>
                <c:pt idx="5">
                  <c:v>54.141204178363346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C4E-4EF9-B31B-8998FA20263A}"/>
            </c:ext>
          </c:extLst>
        </c:ser>
        <c:ser>
          <c:idx val="3"/>
          <c:order val="3"/>
          <c:tx>
            <c:v>40℃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'DZ90A1X 1620'!$B$42:$B$47</c:f>
              <c:numCache>
                <c:formatCode>General</c:formatCode>
                <c:ptCount val="6"/>
                <c:pt idx="0">
                  <c:v>-35</c:v>
                </c:pt>
                <c:pt idx="1">
                  <c:v>-30</c:v>
                </c:pt>
                <c:pt idx="2">
                  <c:v>-25</c:v>
                </c:pt>
                <c:pt idx="3">
                  <c:v>-20</c:v>
                </c:pt>
                <c:pt idx="4">
                  <c:v>-15</c:v>
                </c:pt>
                <c:pt idx="5">
                  <c:v>-10</c:v>
                </c:pt>
              </c:numCache>
            </c:numRef>
          </c:xVal>
          <c:yVal>
            <c:numRef>
              <c:f>'DZ90A1X 1620'!$F$42:$F$47</c:f>
              <c:numCache>
                <c:formatCode>0.0</c:formatCode>
                <c:ptCount val="6"/>
                <c:pt idx="0">
                  <c:v>29.852261172288159</c:v>
                </c:pt>
                <c:pt idx="1">
                  <c:v>34.328678747973299</c:v>
                </c:pt>
                <c:pt idx="2">
                  <c:v>38.722850591310277</c:v>
                </c:pt>
                <c:pt idx="3">
                  <c:v>42.874059272954334</c:v>
                </c:pt>
                <c:pt idx="4">
                  <c:v>46.621587363560757</c:v>
                </c:pt>
                <c:pt idx="5">
                  <c:v>49.804717433784859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C4E-4EF9-B31B-8998FA20263A}"/>
            </c:ext>
          </c:extLst>
        </c:ser>
        <c:ser>
          <c:idx val="4"/>
          <c:order val="4"/>
          <c:tx>
            <c:v>35℃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'DZ90A1X 1620'!$B$54:$B$59</c:f>
              <c:numCache>
                <c:formatCode>General</c:formatCode>
                <c:ptCount val="6"/>
                <c:pt idx="0">
                  <c:v>-35</c:v>
                </c:pt>
                <c:pt idx="1">
                  <c:v>-30</c:v>
                </c:pt>
                <c:pt idx="2">
                  <c:v>-25</c:v>
                </c:pt>
                <c:pt idx="3">
                  <c:v>-20</c:v>
                </c:pt>
                <c:pt idx="4">
                  <c:v>-15</c:v>
                </c:pt>
                <c:pt idx="5">
                  <c:v>-10</c:v>
                </c:pt>
              </c:numCache>
            </c:numRef>
          </c:xVal>
          <c:yVal>
            <c:numRef>
              <c:f>'DZ90A1X 1620'!$F$54:$F$59</c:f>
              <c:numCache>
                <c:formatCode>0.0</c:formatCode>
                <c:ptCount val="6"/>
                <c:pt idx="0">
                  <c:v>28.399470188982054</c:v>
                </c:pt>
                <c:pt idx="1">
                  <c:v>32.426791335891686</c:v>
                </c:pt>
                <c:pt idx="2">
                  <c:v>36.29018938443533</c:v>
                </c:pt>
                <c:pt idx="3">
                  <c:v>39.828946905268161</c:v>
                </c:pt>
                <c:pt idx="4">
                  <c:v>42.882346469045537</c:v>
                </c:pt>
                <c:pt idx="5">
                  <c:v>45.289670646422721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C4E-4EF9-B31B-8998FA2026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163136"/>
        <c:axId val="305163696"/>
      </c:scatterChart>
      <c:valAx>
        <c:axId val="305163136"/>
        <c:scaling>
          <c:orientation val="minMax"/>
          <c:max val="-5"/>
          <c:min val="-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Evaporating(℃)</a:t>
                </a:r>
                <a:endParaRPr lang="zh-CN" sz="11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163696"/>
        <c:crossesAt val="-200"/>
        <c:crossBetween val="midCat"/>
      </c:valAx>
      <c:valAx>
        <c:axId val="305163696"/>
        <c:scaling>
          <c:orientation val="minMax"/>
          <c:max val="65"/>
          <c:min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</a:t>
                </a:r>
                <a:r>
                  <a:rPr lang="en-US" baseline="0"/>
                  <a:t> Power</a:t>
                </a:r>
                <a:r>
                  <a:rPr lang="zh-CN"/>
                  <a:t> </a:t>
                </a:r>
                <a:endParaRPr lang="en-US" altLang="zh-CN"/>
              </a:p>
              <a:p>
                <a:pPr>
                  <a:defRPr/>
                </a:pPr>
                <a:r>
                  <a:rPr lang="en-US"/>
                  <a:t>(W@1620rpm)</a:t>
                </a:r>
                <a:endParaRPr lang="zh-CN"/>
              </a:p>
            </c:rich>
          </c:tx>
          <c:layout>
            <c:manualLayout>
              <c:xMode val="edge"/>
              <c:yMode val="edge"/>
              <c:x val="0.85700351576404454"/>
              <c:y val="1.3631420036185237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163136"/>
        <c:crosses val="autoZero"/>
        <c:crossBetween val="midCat"/>
        <c:majorUnit val="20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ayout>
        <c:manualLayout>
          <c:xMode val="edge"/>
          <c:yMode val="edge"/>
          <c:x val="1.366873576941913E-2"/>
          <c:y val="0.1150823543006398"/>
          <c:w val="0.11101686009431409"/>
          <c:h val="0.722205585948747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0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COP</a:t>
            </a:r>
          </a:p>
          <a:p>
            <a:pPr>
              <a:defRPr/>
            </a:pPr>
            <a:r>
              <a:rPr lang="en-US"/>
              <a:t>(W/W@1620rpm)</a:t>
            </a:r>
            <a:endParaRPr lang="zh-CN"/>
          </a:p>
        </c:rich>
      </c:tx>
      <c:layout>
        <c:manualLayout>
          <c:xMode val="edge"/>
          <c:yMode val="edge"/>
          <c:x val="0.88719062400846904"/>
          <c:y val="1.21768158029373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0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402308564733201"/>
          <c:y val="0.18580847320063351"/>
          <c:w val="0.772278288154849"/>
          <c:h val="0.675908073815504"/>
        </c:manualLayout>
      </c:layout>
      <c:scatterChart>
        <c:scatterStyle val="smoothMarker"/>
        <c:varyColors val="0"/>
        <c:ser>
          <c:idx val="0"/>
          <c:order val="0"/>
          <c:tx>
            <c:v>55℃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'DZ90A1X 1620'!$B$6:$B$11</c:f>
              <c:numCache>
                <c:formatCode>General</c:formatCode>
                <c:ptCount val="6"/>
                <c:pt idx="0">
                  <c:v>-35</c:v>
                </c:pt>
                <c:pt idx="1">
                  <c:v>-30</c:v>
                </c:pt>
                <c:pt idx="2">
                  <c:v>-25</c:v>
                </c:pt>
                <c:pt idx="3">
                  <c:v>-20</c:v>
                </c:pt>
                <c:pt idx="4">
                  <c:v>-15</c:v>
                </c:pt>
                <c:pt idx="5">
                  <c:v>-10</c:v>
                </c:pt>
              </c:numCache>
            </c:numRef>
          </c:xVal>
          <c:yVal>
            <c:numRef>
              <c:f>'DZ90A1X 1620'!$G$6:$G$11</c:f>
              <c:numCache>
                <c:formatCode>0.00</c:formatCode>
                <c:ptCount val="6"/>
                <c:pt idx="0">
                  <c:v>1.5395602746625436</c:v>
                </c:pt>
                <c:pt idx="1">
                  <c:v>1.6592189964126602</c:v>
                </c:pt>
                <c:pt idx="2">
                  <c:v>1.8083926063887925</c:v>
                </c:pt>
                <c:pt idx="3">
                  <c:v>1.9913817381600125</c:v>
                </c:pt>
                <c:pt idx="4">
                  <c:v>2.212609984331745</c:v>
                </c:pt>
                <c:pt idx="5">
                  <c:v>2.4775527983190031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B74-4A8E-855C-267FD39FC558}"/>
            </c:ext>
          </c:extLst>
        </c:ser>
        <c:ser>
          <c:idx val="1"/>
          <c:order val="1"/>
          <c:tx>
            <c:v>50℃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'DZ90A1X 1620'!$B$18:$B$23</c:f>
              <c:numCache>
                <c:formatCode>General</c:formatCode>
                <c:ptCount val="6"/>
                <c:pt idx="0">
                  <c:v>-35</c:v>
                </c:pt>
                <c:pt idx="1">
                  <c:v>-30</c:v>
                </c:pt>
                <c:pt idx="2">
                  <c:v>-25</c:v>
                </c:pt>
                <c:pt idx="3">
                  <c:v>-20</c:v>
                </c:pt>
                <c:pt idx="4">
                  <c:v>-15</c:v>
                </c:pt>
                <c:pt idx="5">
                  <c:v>-10</c:v>
                </c:pt>
              </c:numCache>
            </c:numRef>
          </c:xVal>
          <c:yVal>
            <c:numRef>
              <c:f>'DZ90A1X 1620'!$G$18:$G$23</c:f>
              <c:numCache>
                <c:formatCode>0.00</c:formatCode>
                <c:ptCount val="6"/>
                <c:pt idx="0">
                  <c:v>1.7527588493568669</c:v>
                </c:pt>
                <c:pt idx="1">
                  <c:v>1.8633468564237876</c:v>
                </c:pt>
                <c:pt idx="2">
                  <c:v>2.0122376961518</c:v>
                </c:pt>
                <c:pt idx="3">
                  <c:v>2.2033452719141158</c:v>
                </c:pt>
                <c:pt idx="4">
                  <c:v>2.4414589158499296</c:v>
                </c:pt>
                <c:pt idx="5">
                  <c:v>2.733217952532101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B74-4A8E-855C-267FD39FC558}"/>
            </c:ext>
          </c:extLst>
        </c:ser>
        <c:ser>
          <c:idx val="2"/>
          <c:order val="2"/>
          <c:tx>
            <c:v>45℃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'DZ90A1X 1620'!$B$30:$B$35</c:f>
              <c:numCache>
                <c:formatCode>0</c:formatCode>
                <c:ptCount val="6"/>
                <c:pt idx="0">
                  <c:v>-35</c:v>
                </c:pt>
                <c:pt idx="1">
                  <c:v>-30</c:v>
                </c:pt>
                <c:pt idx="2">
                  <c:v>-25</c:v>
                </c:pt>
                <c:pt idx="3">
                  <c:v>-20</c:v>
                </c:pt>
                <c:pt idx="4">
                  <c:v>-15</c:v>
                </c:pt>
                <c:pt idx="5">
                  <c:v>-10</c:v>
                </c:pt>
              </c:numCache>
            </c:numRef>
          </c:xVal>
          <c:yVal>
            <c:numRef>
              <c:f>'DZ90A1X 1620'!$G$30:$G$35</c:f>
              <c:numCache>
                <c:formatCode>0.00</c:formatCode>
                <c:ptCount val="6"/>
                <c:pt idx="0">
                  <c:v>1.9869704906710601</c:v>
                </c:pt>
                <c:pt idx="1">
                  <c:v>2.0907534568565036</c:v>
                </c:pt>
                <c:pt idx="2">
                  <c:v>2.24265521111827</c:v>
                </c:pt>
                <c:pt idx="3">
                  <c:v>2.4465463984665026</c:v>
                </c:pt>
                <c:pt idx="4">
                  <c:v>2.7081153824417985</c:v>
                </c:pt>
                <c:pt idx="5">
                  <c:v>3.0359808576486862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B74-4A8E-855C-267FD39FC558}"/>
            </c:ext>
          </c:extLst>
        </c:ser>
        <c:ser>
          <c:idx val="3"/>
          <c:order val="3"/>
          <c:tx>
            <c:v>40℃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'DZ90A1X 1620'!$B$42:$B$47</c:f>
              <c:numCache>
                <c:formatCode>General</c:formatCode>
                <c:ptCount val="6"/>
                <c:pt idx="0">
                  <c:v>-35</c:v>
                </c:pt>
                <c:pt idx="1">
                  <c:v>-30</c:v>
                </c:pt>
                <c:pt idx="2">
                  <c:v>-25</c:v>
                </c:pt>
                <c:pt idx="3">
                  <c:v>-20</c:v>
                </c:pt>
                <c:pt idx="4">
                  <c:v>-15</c:v>
                </c:pt>
                <c:pt idx="5">
                  <c:v>-10</c:v>
                </c:pt>
              </c:numCache>
            </c:numRef>
          </c:xVal>
          <c:yVal>
            <c:numRef>
              <c:f>'DZ90A1X 1620'!$G$42:$G$47</c:f>
              <c:numCache>
                <c:formatCode>0.00</c:formatCode>
                <c:ptCount val="6"/>
                <c:pt idx="0">
                  <c:v>2.2466949615707756</c:v>
                </c:pt>
                <c:pt idx="1">
                  <c:v>2.3468470214315702</c:v>
                </c:pt>
                <c:pt idx="2">
                  <c:v>2.5063076835566864</c:v>
                </c:pt>
                <c:pt idx="3">
                  <c:v>2.7294532043139625</c:v>
                </c:pt>
                <c:pt idx="4">
                  <c:v>3.0237149600164317</c:v>
                </c:pt>
                <c:pt idx="5">
                  <c:v>3.4010129365212238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B74-4A8E-855C-267FD39FC558}"/>
            </c:ext>
          </c:extLst>
        </c:ser>
        <c:ser>
          <c:idx val="4"/>
          <c:order val="4"/>
          <c:tx>
            <c:v>35℃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'DZ90A1X 1620'!$B$54:$B$59</c:f>
              <c:numCache>
                <c:formatCode>General</c:formatCode>
                <c:ptCount val="6"/>
                <c:pt idx="0">
                  <c:v>-35</c:v>
                </c:pt>
                <c:pt idx="1">
                  <c:v>-30</c:v>
                </c:pt>
                <c:pt idx="2">
                  <c:v>-25</c:v>
                </c:pt>
                <c:pt idx="3">
                  <c:v>-20</c:v>
                </c:pt>
                <c:pt idx="4">
                  <c:v>-15</c:v>
                </c:pt>
                <c:pt idx="5">
                  <c:v>-10</c:v>
                </c:pt>
              </c:numCache>
            </c:numRef>
          </c:xVal>
          <c:yVal>
            <c:numRef>
              <c:f>'DZ90A1X 1620'!$G$54:$G$59</c:f>
              <c:numCache>
                <c:formatCode>0.00</c:formatCode>
                <c:ptCount val="6"/>
                <c:pt idx="0">
                  <c:v>2.5377620904009195</c:v>
                </c:pt>
                <c:pt idx="1">
                  <c:v>2.6387826065244111</c:v>
                </c:pt>
                <c:pt idx="2">
                  <c:v>2.8122170240762663</c:v>
                </c:pt>
                <c:pt idx="3">
                  <c:v>3.0638308771738574</c:v>
                </c:pt>
                <c:pt idx="4">
                  <c:v>3.4041796685273416</c:v>
                </c:pt>
                <c:pt idx="5">
                  <c:v>3.8507280374598771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B74-4A8E-855C-267FD39FC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500464"/>
        <c:axId val="305501024"/>
      </c:scatterChart>
      <c:valAx>
        <c:axId val="305500464"/>
        <c:scaling>
          <c:orientation val="minMax"/>
          <c:max val="-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/>
                  <a:t>Evaporating(℃)</a:t>
                </a:r>
                <a:endParaRPr lang="zh-CN" sz="1050"/>
              </a:p>
            </c:rich>
          </c:tx>
          <c:layout>
            <c:manualLayout>
              <c:xMode val="edge"/>
              <c:yMode val="edge"/>
              <c:x val="0.453120164191464"/>
              <c:y val="0.929851377648506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501024"/>
        <c:crosses val="autoZero"/>
        <c:crossBetween val="midCat"/>
      </c:valAx>
      <c:valAx>
        <c:axId val="305501024"/>
        <c:scaling>
          <c:orientation val="minMax"/>
          <c:max val="4.4000000000000004"/>
          <c:min val="1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lang="zh-CN"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Condensing</a:t>
                </a:r>
              </a:p>
            </c:rich>
          </c:tx>
          <c:layout>
            <c:manualLayout>
              <c:xMode val="edge"/>
              <c:yMode val="edge"/>
              <c:x val="7.335670626459209E-3"/>
              <c:y val="2.175099218260223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lang="zh-CN"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5004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97307080635029E-2"/>
          <c:y val="0.196634289759892"/>
          <c:w val="9.2414235450598098E-2"/>
          <c:h val="0.601230567911347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900">
          <a:latin typeface="+mn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Condensing</a:t>
            </a:r>
            <a:endParaRPr lang="zh-CN" sz="1100"/>
          </a:p>
        </c:rich>
      </c:tx>
      <c:layout>
        <c:manualLayout>
          <c:xMode val="edge"/>
          <c:yMode val="edge"/>
          <c:x val="7.9822055231222686E-3"/>
          <c:y val="1.4955464103249983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38411900056413"/>
          <c:y val="0.15318856209150328"/>
          <c:w val="0.79805461540140732"/>
          <c:h val="0.67344150326797392"/>
        </c:manualLayout>
      </c:layout>
      <c:scatterChart>
        <c:scatterStyle val="smoothMarker"/>
        <c:varyColors val="0"/>
        <c:ser>
          <c:idx val="0"/>
          <c:order val="0"/>
          <c:tx>
            <c:v>55℃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'DZ90A1X 1320'!$B$6:$B$11</c:f>
              <c:numCache>
                <c:formatCode>0</c:formatCode>
                <c:ptCount val="6"/>
                <c:pt idx="0">
                  <c:v>-35</c:v>
                </c:pt>
                <c:pt idx="1">
                  <c:v>-30</c:v>
                </c:pt>
                <c:pt idx="2">
                  <c:v>-25</c:v>
                </c:pt>
                <c:pt idx="3">
                  <c:v>-20</c:v>
                </c:pt>
                <c:pt idx="4">
                  <c:v>-15</c:v>
                </c:pt>
                <c:pt idx="5">
                  <c:v>-10</c:v>
                </c:pt>
              </c:numCache>
            </c:numRef>
          </c:xVal>
          <c:yVal>
            <c:numRef>
              <c:f>'DZ90A1X 1320'!$C$6:$C$11</c:f>
              <c:numCache>
                <c:formatCode>0.0_);[Red]\(0.0\)</c:formatCode>
                <c:ptCount val="6"/>
                <c:pt idx="0">
                  <c:v>41.998037989741533</c:v>
                </c:pt>
                <c:pt idx="1">
                  <c:v>52.91132254060043</c:v>
                </c:pt>
                <c:pt idx="2">
                  <c:v>66.243893874569721</c:v>
                </c:pt>
                <c:pt idx="3">
                  <c:v>82.393897597044315</c:v>
                </c:pt>
                <c:pt idx="4">
                  <c:v>101.7594793134194</c:v>
                </c:pt>
                <c:pt idx="5">
                  <c:v>124.73878462908991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9B5-480C-945A-CC760F863A9B}"/>
            </c:ext>
          </c:extLst>
        </c:ser>
        <c:ser>
          <c:idx val="1"/>
          <c:order val="1"/>
          <c:tx>
            <c:v>50℃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'DZ90A1X 1320'!$B$18:$B$23</c:f>
              <c:numCache>
                <c:formatCode>General</c:formatCode>
                <c:ptCount val="6"/>
                <c:pt idx="0">
                  <c:v>-35</c:v>
                </c:pt>
                <c:pt idx="1">
                  <c:v>-30</c:v>
                </c:pt>
                <c:pt idx="2">
                  <c:v>-25</c:v>
                </c:pt>
                <c:pt idx="3">
                  <c:v>-20</c:v>
                </c:pt>
                <c:pt idx="4">
                  <c:v>-15</c:v>
                </c:pt>
                <c:pt idx="5">
                  <c:v>-10</c:v>
                </c:pt>
              </c:numCache>
            </c:numRef>
          </c:xVal>
          <c:yVal>
            <c:numRef>
              <c:f>'DZ90A1X 1320'!$C$18:$C$23</c:f>
              <c:numCache>
                <c:formatCode>0.0_);[Red]\(0.0\)</c:formatCode>
                <c:ptCount val="6"/>
                <c:pt idx="0">
                  <c:v>47.002423772997389</c:v>
                </c:pt>
                <c:pt idx="1">
                  <c:v>57.917439148304524</c:v>
                </c:pt>
                <c:pt idx="2">
                  <c:v>71.252140548394323</c:v>
                </c:pt>
                <c:pt idx="3">
                  <c:v>87.4046735786618</c:v>
                </c:pt>
                <c:pt idx="4">
                  <c:v>106.77318384450206</c:v>
                </c:pt>
                <c:pt idx="5">
                  <c:v>129.75581695131004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9B5-480C-945A-CC760F863A9B}"/>
            </c:ext>
          </c:extLst>
        </c:ser>
        <c:ser>
          <c:idx val="2"/>
          <c:order val="2"/>
          <c:tx>
            <c:v>45℃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'DZ90A1X 1320'!$B$30:$B$35</c:f>
              <c:numCache>
                <c:formatCode>0</c:formatCode>
                <c:ptCount val="6"/>
                <c:pt idx="0">
                  <c:v>-35</c:v>
                </c:pt>
                <c:pt idx="1">
                  <c:v>-30</c:v>
                </c:pt>
                <c:pt idx="2">
                  <c:v>-25</c:v>
                </c:pt>
                <c:pt idx="3">
                  <c:v>-20</c:v>
                </c:pt>
                <c:pt idx="4">
                  <c:v>-15</c:v>
                </c:pt>
                <c:pt idx="5">
                  <c:v>-10</c:v>
                </c:pt>
              </c:numCache>
            </c:numRef>
          </c:xVal>
          <c:yVal>
            <c:numRef>
              <c:f>'DZ90A1X 1320'!$C$30:$C$36</c:f>
              <c:numCache>
                <c:formatCode>0.0_);[Red]\(0.0\)</c:formatCode>
                <c:ptCount val="7"/>
                <c:pt idx="0">
                  <c:v>52.005933893434793</c:v>
                </c:pt>
                <c:pt idx="1">
                  <c:v>62.922351626509219</c:v>
                </c:pt>
                <c:pt idx="2">
                  <c:v>76.258854626038641</c:v>
                </c:pt>
                <c:pt idx="3">
                  <c:v>92.413588497418061</c:v>
                </c:pt>
                <c:pt idx="4">
                  <c:v>111.78469884604255</c:v>
                </c:pt>
                <c:pt idx="5">
                  <c:v>134.77033127730712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9B5-480C-945A-CC760F863A9B}"/>
            </c:ext>
          </c:extLst>
        </c:ser>
        <c:ser>
          <c:idx val="3"/>
          <c:order val="3"/>
          <c:tx>
            <c:v>40℃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'DZ90A1X 1320'!$B$42:$B$47</c:f>
              <c:numCache>
                <c:formatCode>General</c:formatCode>
                <c:ptCount val="6"/>
                <c:pt idx="0">
                  <c:v>-35</c:v>
                </c:pt>
                <c:pt idx="1">
                  <c:v>-30</c:v>
                </c:pt>
                <c:pt idx="2">
                  <c:v>-25</c:v>
                </c:pt>
                <c:pt idx="3">
                  <c:v>-20</c:v>
                </c:pt>
                <c:pt idx="4">
                  <c:v>-15</c:v>
                </c:pt>
                <c:pt idx="5">
                  <c:v>-10</c:v>
                </c:pt>
              </c:numCache>
            </c:numRef>
          </c:xVal>
          <c:yVal>
            <c:numRef>
              <c:f>'DZ90A1X 1320'!$C$42:$C$47</c:f>
              <c:numCache>
                <c:formatCode>0.0_);[Red]\(0.0\)</c:formatCode>
                <c:ptCount val="6"/>
                <c:pt idx="0">
                  <c:v>57.008568351053704</c:v>
                </c:pt>
                <c:pt idx="1">
                  <c:v>67.926059975214514</c:v>
                </c:pt>
                <c:pt idx="2">
                  <c:v>81.264036107502619</c:v>
                </c:pt>
                <c:pt idx="3">
                  <c:v>97.42064235331307</c:v>
                </c:pt>
                <c:pt idx="4">
                  <c:v>116.79402431804093</c:v>
                </c:pt>
                <c:pt idx="5">
                  <c:v>139.78232760708116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9B5-480C-945A-CC760F863A9B}"/>
            </c:ext>
          </c:extLst>
        </c:ser>
        <c:ser>
          <c:idx val="4"/>
          <c:order val="4"/>
          <c:tx>
            <c:v>35℃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'DZ90A1X 1320'!$B$54:$B$59</c:f>
              <c:numCache>
                <c:formatCode>General</c:formatCode>
                <c:ptCount val="6"/>
                <c:pt idx="0">
                  <c:v>-35</c:v>
                </c:pt>
                <c:pt idx="1">
                  <c:v>-30</c:v>
                </c:pt>
                <c:pt idx="2">
                  <c:v>-25</c:v>
                </c:pt>
                <c:pt idx="3">
                  <c:v>-20</c:v>
                </c:pt>
                <c:pt idx="4">
                  <c:v>-15</c:v>
                </c:pt>
                <c:pt idx="5">
                  <c:v>-10</c:v>
                </c:pt>
              </c:numCache>
            </c:numRef>
          </c:xVal>
          <c:yVal>
            <c:numRef>
              <c:f>'DZ90A1X 1320'!$C$54:$C$59</c:f>
              <c:numCache>
                <c:formatCode>0.0_);[Red]\(0.0\)</c:formatCode>
                <c:ptCount val="6"/>
                <c:pt idx="0">
                  <c:v>62.010327145854134</c:v>
                </c:pt>
                <c:pt idx="1">
                  <c:v>72.928564194420403</c:v>
                </c:pt>
                <c:pt idx="2">
                  <c:v>86.267684992786315</c:v>
                </c:pt>
                <c:pt idx="3">
                  <c:v>102.42583514634686</c:v>
                </c:pt>
                <c:pt idx="4">
                  <c:v>121.80116026049711</c:v>
                </c:pt>
                <c:pt idx="5">
                  <c:v>144.79180594063209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9B5-480C-945A-CC760F863A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506064"/>
        <c:axId val="305506624"/>
      </c:scatterChart>
      <c:valAx>
        <c:axId val="305506064"/>
        <c:scaling>
          <c:orientation val="minMax"/>
          <c:max val="-5"/>
          <c:min val="-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Evaporating(℃)</a:t>
                </a:r>
                <a:endParaRPr lang="zh-CN" sz="11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506624"/>
        <c:crossesAt val="-200"/>
        <c:crossBetween val="midCat"/>
      </c:valAx>
      <c:valAx>
        <c:axId val="305506624"/>
        <c:scaling>
          <c:orientation val="minMax"/>
          <c:max val="1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Capacity</a:t>
                </a:r>
                <a:r>
                  <a:rPr lang="zh-CN"/>
                  <a:t> </a:t>
                </a:r>
                <a:endParaRPr lang="en-US" altLang="zh-CN"/>
              </a:p>
              <a:p>
                <a:pPr>
                  <a:defRPr/>
                </a:pPr>
                <a:r>
                  <a:rPr lang="en-US"/>
                  <a:t>(W@1200rpm)</a:t>
                </a:r>
                <a:endParaRPr lang="zh-CN"/>
              </a:p>
            </c:rich>
          </c:tx>
          <c:layout>
            <c:manualLayout>
              <c:xMode val="edge"/>
              <c:yMode val="edge"/>
              <c:x val="0.85702984090572998"/>
              <c:y val="4.6150572768965947E-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_);[Red]\(0.0\)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506064"/>
        <c:crosses val="autoZero"/>
        <c:crossBetween val="midCat"/>
        <c:majorUnit val="5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1338365713462245E-2"/>
          <c:y val="0.13163235294117648"/>
          <c:w val="0.10235080468566354"/>
          <c:h val="0.666952121966117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Condensing</a:t>
            </a:r>
            <a:endParaRPr lang="zh-CN" sz="1100"/>
          </a:p>
        </c:rich>
      </c:tx>
      <c:layout>
        <c:manualLayout>
          <c:xMode val="edge"/>
          <c:yMode val="edge"/>
          <c:x val="8.0129842086563222E-3"/>
          <c:y val="1.0212391136324739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962074082721371"/>
          <c:y val="0.17213751262286281"/>
          <c:w val="0.77916253559336035"/>
          <c:h val="0.6379535827491114"/>
        </c:manualLayout>
      </c:layout>
      <c:scatterChart>
        <c:scatterStyle val="smoothMarker"/>
        <c:varyColors val="0"/>
        <c:ser>
          <c:idx val="0"/>
          <c:order val="0"/>
          <c:tx>
            <c:v>55℃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'DZ90A1X 1320'!$B$6:$B$11</c:f>
              <c:numCache>
                <c:formatCode>0</c:formatCode>
                <c:ptCount val="6"/>
                <c:pt idx="0">
                  <c:v>-35</c:v>
                </c:pt>
                <c:pt idx="1">
                  <c:v>-30</c:v>
                </c:pt>
                <c:pt idx="2">
                  <c:v>-25</c:v>
                </c:pt>
                <c:pt idx="3">
                  <c:v>-20</c:v>
                </c:pt>
                <c:pt idx="4">
                  <c:v>-15</c:v>
                </c:pt>
                <c:pt idx="5">
                  <c:v>-10</c:v>
                </c:pt>
              </c:numCache>
            </c:numRef>
          </c:xVal>
          <c:yVal>
            <c:numRef>
              <c:f>'DZ90A1X 1320'!$F$6:$F$11</c:f>
              <c:numCache>
                <c:formatCode>0.0_);[Red]\(0.0\)</c:formatCode>
                <c:ptCount val="6"/>
                <c:pt idx="0">
                  <c:v>27.353683661748953</c:v>
                </c:pt>
                <c:pt idx="1">
                  <c:v>31.958366795955794</c:v>
                </c:pt>
                <c:pt idx="2">
                  <c:v>36.694742270957995</c:v>
                </c:pt>
                <c:pt idx="3">
                  <c:v>41.432791492229484</c:v>
                </c:pt>
                <c:pt idx="4">
                  <c:v>46.042495865244213</c:v>
                </c:pt>
                <c:pt idx="5">
                  <c:v>50.393836795476091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C4E-4EF9-B31B-8998FA20263A}"/>
            </c:ext>
          </c:extLst>
        </c:ser>
        <c:ser>
          <c:idx val="1"/>
          <c:order val="1"/>
          <c:tx>
            <c:v>50℃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'DZ90A1X 1320'!$B$18:$B$23</c:f>
              <c:numCache>
                <c:formatCode>General</c:formatCode>
                <c:ptCount val="6"/>
                <c:pt idx="0">
                  <c:v>-35</c:v>
                </c:pt>
                <c:pt idx="1">
                  <c:v>-30</c:v>
                </c:pt>
                <c:pt idx="2">
                  <c:v>-25</c:v>
                </c:pt>
                <c:pt idx="3">
                  <c:v>-20</c:v>
                </c:pt>
                <c:pt idx="4">
                  <c:v>-15</c:v>
                </c:pt>
                <c:pt idx="5">
                  <c:v>-10</c:v>
                </c:pt>
              </c:numCache>
            </c:numRef>
          </c:xVal>
          <c:yVal>
            <c:numRef>
              <c:f>'DZ90A1X 1320'!$F$18:$F$23</c:f>
              <c:numCache>
                <c:formatCode>0.0_);[Red]\(0.0\)</c:formatCode>
                <c:ptCount val="6"/>
                <c:pt idx="0">
                  <c:v>26.336751545560968</c:v>
                </c:pt>
                <c:pt idx="1">
                  <c:v>30.631435856041733</c:v>
                </c:pt>
                <c:pt idx="2">
                  <c:v>34.99173643593263</c:v>
                </c:pt>
                <c:pt idx="3">
                  <c:v>39.287634690707577</c:v>
                </c:pt>
                <c:pt idx="4">
                  <c:v>43.389112025840539</c:v>
                </c:pt>
                <c:pt idx="5">
                  <c:v>47.166149846805418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C4E-4EF9-B31B-8998FA20263A}"/>
            </c:ext>
          </c:extLst>
        </c:ser>
        <c:ser>
          <c:idx val="2"/>
          <c:order val="2"/>
          <c:tx>
            <c:v>45℃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'DZ90A1X 1320'!$B$30:$B$35</c:f>
              <c:numCache>
                <c:formatCode>0</c:formatCode>
                <c:ptCount val="6"/>
                <c:pt idx="0">
                  <c:v>-35</c:v>
                </c:pt>
                <c:pt idx="1">
                  <c:v>-30</c:v>
                </c:pt>
                <c:pt idx="2">
                  <c:v>-25</c:v>
                </c:pt>
                <c:pt idx="3">
                  <c:v>-20</c:v>
                </c:pt>
                <c:pt idx="4">
                  <c:v>-15</c:v>
                </c:pt>
                <c:pt idx="5">
                  <c:v>-10</c:v>
                </c:pt>
              </c:numCache>
            </c:numRef>
          </c:xVal>
          <c:yVal>
            <c:numRef>
              <c:f>'DZ90A1X 1320'!$F$30:$F$35</c:f>
              <c:numCache>
                <c:formatCode>0.0_);[Red]\(0.0\)</c:formatCode>
                <c:ptCount val="6"/>
                <c:pt idx="0">
                  <c:v>25.269840951940697</c:v>
                </c:pt>
                <c:pt idx="1">
                  <c:v>29.236754724986707</c:v>
                </c:pt>
                <c:pt idx="2">
                  <c:v>33.203208696057622</c:v>
                </c:pt>
                <c:pt idx="3">
                  <c:v>37.039184270627359</c:v>
                </c:pt>
                <c:pt idx="4">
                  <c:v>40.614662854169886</c:v>
                </c:pt>
                <c:pt idx="5">
                  <c:v>43.799625852159103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C4E-4EF9-B31B-8998FA20263A}"/>
            </c:ext>
          </c:extLst>
        </c:ser>
        <c:ser>
          <c:idx val="3"/>
          <c:order val="3"/>
          <c:tx>
            <c:v>40℃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'DZ90A1X 1320'!$B$42:$B$47</c:f>
              <c:numCache>
                <c:formatCode>General</c:formatCode>
                <c:ptCount val="6"/>
                <c:pt idx="0">
                  <c:v>-35</c:v>
                </c:pt>
                <c:pt idx="1">
                  <c:v>-30</c:v>
                </c:pt>
                <c:pt idx="2">
                  <c:v>-25</c:v>
                </c:pt>
                <c:pt idx="3">
                  <c:v>-20</c:v>
                </c:pt>
                <c:pt idx="4">
                  <c:v>-15</c:v>
                </c:pt>
                <c:pt idx="5">
                  <c:v>-10</c:v>
                </c:pt>
              </c:numCache>
            </c:numRef>
          </c:xVal>
          <c:yVal>
            <c:numRef>
              <c:f>'DZ90A1X 1320'!$F$42:$F$47</c:f>
              <c:numCache>
                <c:formatCode>0.0_);[Red]\(0.0\)</c:formatCode>
                <c:ptCount val="6"/>
                <c:pt idx="0">
                  <c:v>24.15014386971626</c:v>
                </c:pt>
                <c:pt idx="1">
                  <c:v>27.771515391618845</c:v>
                </c:pt>
                <c:pt idx="2">
                  <c:v>31.326351040161114</c:v>
                </c:pt>
                <c:pt idx="3">
                  <c:v>34.684632220816979</c:v>
                </c:pt>
                <c:pt idx="4">
                  <c:v>37.71634033906038</c:v>
                </c:pt>
                <c:pt idx="5">
                  <c:v>40.291456800365268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C4E-4EF9-B31B-8998FA20263A}"/>
            </c:ext>
          </c:extLst>
        </c:ser>
        <c:ser>
          <c:idx val="4"/>
          <c:order val="4"/>
          <c:tx>
            <c:v>35℃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'DZ90A1X 1320'!$B$54:$B$59</c:f>
              <c:numCache>
                <c:formatCode>General</c:formatCode>
                <c:ptCount val="6"/>
                <c:pt idx="0">
                  <c:v>-35</c:v>
                </c:pt>
                <c:pt idx="1">
                  <c:v>-30</c:v>
                </c:pt>
                <c:pt idx="2">
                  <c:v>-25</c:v>
                </c:pt>
                <c:pt idx="3">
                  <c:v>-20</c:v>
                </c:pt>
                <c:pt idx="4">
                  <c:v>-15</c:v>
                </c:pt>
                <c:pt idx="5">
                  <c:v>-10</c:v>
                </c:pt>
              </c:numCache>
            </c:numRef>
          </c:xVal>
          <c:yVal>
            <c:numRef>
              <c:f>'DZ90A1X 1320'!$F$54:$F$59</c:f>
              <c:numCache>
                <c:formatCode>0.0_);[Red]\(0.0\)</c:formatCode>
                <c:ptCount val="6"/>
                <c:pt idx="0">
                  <c:v>22.974852287715816</c:v>
                </c:pt>
                <c:pt idx="1">
                  <c:v>26.232909844766304</c:v>
                </c:pt>
                <c:pt idx="2">
                  <c:v>29.358355457071273</c:v>
                </c:pt>
                <c:pt idx="3">
                  <c:v>32.221170530104573</c:v>
                </c:pt>
                <c:pt idx="4">
                  <c:v>34.6913364693402</c:v>
                </c:pt>
                <c:pt idx="5">
                  <c:v>36.638834680252081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C4E-4EF9-B31B-8998FA2026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511664"/>
        <c:axId val="305512224"/>
      </c:scatterChart>
      <c:valAx>
        <c:axId val="305511664"/>
        <c:scaling>
          <c:orientation val="minMax"/>
          <c:max val="-5"/>
          <c:min val="-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Evaporating(℃)</a:t>
                </a:r>
                <a:endParaRPr lang="zh-CN" sz="11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512224"/>
        <c:crossesAt val="-200"/>
        <c:crossBetween val="midCat"/>
      </c:valAx>
      <c:valAx>
        <c:axId val="305512224"/>
        <c:scaling>
          <c:orientation val="minMax"/>
          <c:max val="60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</a:t>
                </a:r>
                <a:r>
                  <a:rPr lang="en-US" baseline="0"/>
                  <a:t> Power</a:t>
                </a:r>
                <a:r>
                  <a:rPr lang="zh-CN"/>
                  <a:t> </a:t>
                </a:r>
                <a:endParaRPr lang="en-US" altLang="zh-CN"/>
              </a:p>
              <a:p>
                <a:pPr>
                  <a:defRPr/>
                </a:pPr>
                <a:r>
                  <a:rPr lang="en-US"/>
                  <a:t>(W@1200rpm)</a:t>
                </a:r>
                <a:endParaRPr lang="zh-CN"/>
              </a:p>
            </c:rich>
          </c:tx>
          <c:layout>
            <c:manualLayout>
              <c:xMode val="edge"/>
              <c:yMode val="edge"/>
              <c:x val="0.85700351576404454"/>
              <c:y val="1.3631420036185237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_);[Red]\(0.0\)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511664"/>
        <c:crosses val="autoZero"/>
        <c:crossBetween val="midCat"/>
        <c:majorUnit val="20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ayout>
        <c:manualLayout>
          <c:xMode val="edge"/>
          <c:yMode val="edge"/>
          <c:x val="1.366873576941913E-2"/>
          <c:y val="0.1150823543006398"/>
          <c:w val="0.11101686009431409"/>
          <c:h val="0.722205585948747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0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COP</a:t>
            </a:r>
          </a:p>
          <a:p>
            <a:pPr>
              <a:defRPr/>
            </a:pPr>
            <a:r>
              <a:rPr lang="en-US"/>
              <a:t>(W/W@1200rpm)</a:t>
            </a:r>
            <a:endParaRPr lang="zh-CN"/>
          </a:p>
        </c:rich>
      </c:tx>
      <c:layout>
        <c:manualLayout>
          <c:xMode val="edge"/>
          <c:yMode val="edge"/>
          <c:x val="0.88719062400846904"/>
          <c:y val="1.21768158029373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0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402308564733201"/>
          <c:y val="0.18580847320063351"/>
          <c:w val="0.772278288154849"/>
          <c:h val="0.675908073815504"/>
        </c:manualLayout>
      </c:layout>
      <c:scatterChart>
        <c:scatterStyle val="smoothMarker"/>
        <c:varyColors val="0"/>
        <c:ser>
          <c:idx val="0"/>
          <c:order val="0"/>
          <c:tx>
            <c:v>55℃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'DZ90A1X 1320'!$B$6:$B$11</c:f>
              <c:numCache>
                <c:formatCode>0</c:formatCode>
                <c:ptCount val="6"/>
                <c:pt idx="0">
                  <c:v>-35</c:v>
                </c:pt>
                <c:pt idx="1">
                  <c:v>-30</c:v>
                </c:pt>
                <c:pt idx="2">
                  <c:v>-25</c:v>
                </c:pt>
                <c:pt idx="3">
                  <c:v>-20</c:v>
                </c:pt>
                <c:pt idx="4">
                  <c:v>-15</c:v>
                </c:pt>
                <c:pt idx="5">
                  <c:v>-10</c:v>
                </c:pt>
              </c:numCache>
            </c:numRef>
          </c:xVal>
          <c:yVal>
            <c:numRef>
              <c:f>'DZ90A1X 1320'!$G$6:$G$11</c:f>
              <c:numCache>
                <c:formatCode>0.000</c:formatCode>
                <c:ptCount val="6"/>
                <c:pt idx="0">
                  <c:v>1.5353704645078958</c:v>
                </c:pt>
                <c:pt idx="1">
                  <c:v>1.6556328700531766</c:v>
                </c:pt>
                <c:pt idx="2">
                  <c:v>1.8052693594471261</c:v>
                </c:pt>
                <c:pt idx="3">
                  <c:v>1.9886156502995191</c:v>
                </c:pt>
                <c:pt idx="4">
                  <c:v>2.2101208329636597</c:v>
                </c:pt>
                <c:pt idx="5">
                  <c:v>2.4752785769288326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B74-4A8E-855C-267FD39FC558}"/>
            </c:ext>
          </c:extLst>
        </c:ser>
        <c:ser>
          <c:idx val="1"/>
          <c:order val="1"/>
          <c:tx>
            <c:v>50℃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'DZ90A1X 1320'!$B$18:$B$23</c:f>
              <c:numCache>
                <c:formatCode>General</c:formatCode>
                <c:ptCount val="6"/>
                <c:pt idx="0">
                  <c:v>-35</c:v>
                </c:pt>
                <c:pt idx="1">
                  <c:v>-30</c:v>
                </c:pt>
                <c:pt idx="2">
                  <c:v>-25</c:v>
                </c:pt>
                <c:pt idx="3">
                  <c:v>-20</c:v>
                </c:pt>
                <c:pt idx="4">
                  <c:v>-15</c:v>
                </c:pt>
                <c:pt idx="5">
                  <c:v>-10</c:v>
                </c:pt>
              </c:numCache>
            </c:numRef>
          </c:xVal>
          <c:yVal>
            <c:numRef>
              <c:f>'DZ90A1X 1320'!$G$18:$G$23</c:f>
              <c:numCache>
                <c:formatCode>0.000</c:formatCode>
                <c:ptCount val="6"/>
                <c:pt idx="0">
                  <c:v>1.7846705084978332</c:v>
                </c:pt>
                <c:pt idx="1">
                  <c:v>1.8907843373878574</c:v>
                </c:pt>
                <c:pt idx="2">
                  <c:v>2.0362562080579196</c:v>
                </c:pt>
                <c:pt idx="3">
                  <c:v>2.2247374846247743</c:v>
                </c:pt>
                <c:pt idx="4">
                  <c:v>2.4608289697404482</c:v>
                </c:pt>
                <c:pt idx="5">
                  <c:v>2.7510368637837512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B74-4A8E-855C-267FD39FC558}"/>
            </c:ext>
          </c:extLst>
        </c:ser>
        <c:ser>
          <c:idx val="2"/>
          <c:order val="2"/>
          <c:tx>
            <c:v>45℃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'DZ90A1X 1320'!$B$30:$B$35</c:f>
              <c:numCache>
                <c:formatCode>0</c:formatCode>
                <c:ptCount val="6"/>
                <c:pt idx="0">
                  <c:v>-35</c:v>
                </c:pt>
                <c:pt idx="1">
                  <c:v>-30</c:v>
                </c:pt>
                <c:pt idx="2">
                  <c:v>-25</c:v>
                </c:pt>
                <c:pt idx="3">
                  <c:v>-20</c:v>
                </c:pt>
                <c:pt idx="4">
                  <c:v>-15</c:v>
                </c:pt>
                <c:pt idx="5">
                  <c:v>-10</c:v>
                </c:pt>
              </c:numCache>
            </c:numRef>
          </c:xVal>
          <c:yVal>
            <c:numRef>
              <c:f>'DZ90A1X 1320'!$G$30:$G$35</c:f>
              <c:numCache>
                <c:formatCode>0.000</c:formatCode>
                <c:ptCount val="6"/>
                <c:pt idx="0">
                  <c:v>2.0580237917738375</c:v>
                </c:pt>
                <c:pt idx="1">
                  <c:v>2.1521660737788273</c:v>
                </c:pt>
                <c:pt idx="2">
                  <c:v>2.296731479301072</c:v>
                </c:pt>
                <c:pt idx="3">
                  <c:v>2.4950222397501194</c:v>
                </c:pt>
                <c:pt idx="4">
                  <c:v>2.752323692736641</c:v>
                </c:pt>
                <c:pt idx="5">
                  <c:v>3.0769744867732385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B74-4A8E-855C-267FD39FC558}"/>
            </c:ext>
          </c:extLst>
        </c:ser>
        <c:ser>
          <c:idx val="3"/>
          <c:order val="3"/>
          <c:tx>
            <c:v>40℃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'DZ90A1X 1320'!$B$42:$B$47</c:f>
              <c:numCache>
                <c:formatCode>General</c:formatCode>
                <c:ptCount val="6"/>
                <c:pt idx="0">
                  <c:v>-35</c:v>
                </c:pt>
                <c:pt idx="1">
                  <c:v>-30</c:v>
                </c:pt>
                <c:pt idx="2">
                  <c:v>-25</c:v>
                </c:pt>
                <c:pt idx="3">
                  <c:v>-20</c:v>
                </c:pt>
                <c:pt idx="4">
                  <c:v>-15</c:v>
                </c:pt>
                <c:pt idx="5">
                  <c:v>-10</c:v>
                </c:pt>
              </c:numCache>
            </c:numRef>
          </c:xVal>
          <c:yVal>
            <c:numRef>
              <c:f>'DZ90A1X 1320'!$G$42:$G$47</c:f>
              <c:numCache>
                <c:formatCode>0.000</c:formatCode>
                <c:ptCount val="6"/>
                <c:pt idx="0">
                  <c:v>2.3605891815220685</c:v>
                </c:pt>
                <c:pt idx="1">
                  <c:v>2.4458895748884446</c:v>
                </c:pt>
                <c:pt idx="2">
                  <c:v>2.5941111367653455</c:v>
                </c:pt>
                <c:pt idx="3">
                  <c:v>2.8087552358373653</c:v>
                </c:pt>
                <c:pt idx="4">
                  <c:v>3.0966425498362811</c:v>
                </c:pt>
                <c:pt idx="5">
                  <c:v>3.4692795621580488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B74-4A8E-855C-267FD39FC558}"/>
            </c:ext>
          </c:extLst>
        </c:ser>
        <c:ser>
          <c:idx val="4"/>
          <c:order val="4"/>
          <c:tx>
            <c:v>35℃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'DZ90A1X 1320'!$B$54:$B$59</c:f>
              <c:numCache>
                <c:formatCode>General</c:formatCode>
                <c:ptCount val="6"/>
                <c:pt idx="0">
                  <c:v>-35</c:v>
                </c:pt>
                <c:pt idx="1">
                  <c:v>-30</c:v>
                </c:pt>
                <c:pt idx="2">
                  <c:v>-25</c:v>
                </c:pt>
                <c:pt idx="3">
                  <c:v>-20</c:v>
                </c:pt>
                <c:pt idx="4">
                  <c:v>-15</c:v>
                </c:pt>
                <c:pt idx="5">
                  <c:v>-10</c:v>
                </c:pt>
              </c:numCache>
            </c:numRef>
          </c:xVal>
          <c:yVal>
            <c:numRef>
              <c:f>'DZ90A1X 1320'!$G$54:$G$59</c:f>
              <c:numCache>
                <c:formatCode>0.000</c:formatCode>
                <c:ptCount val="6"/>
                <c:pt idx="0">
                  <c:v>2.6990522667695145</c:v>
                </c:pt>
                <c:pt idx="1">
                  <c:v>2.7800409724264838</c:v>
                </c:pt>
                <c:pt idx="2">
                  <c:v>2.9384372404281871</c:v>
                </c:pt>
                <c:pt idx="3">
                  <c:v>3.1788365680461341</c:v>
                </c:pt>
                <c:pt idx="4">
                  <c:v>3.5109964808690366</c:v>
                </c:pt>
                <c:pt idx="5">
                  <c:v>3.9518671159777155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B74-4A8E-855C-267FD39FC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6099776"/>
        <c:axId val="306100336"/>
      </c:scatterChart>
      <c:valAx>
        <c:axId val="306099776"/>
        <c:scaling>
          <c:orientation val="minMax"/>
          <c:max val="-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/>
                  <a:t>Evaporating(℃)</a:t>
                </a:r>
                <a:endParaRPr lang="zh-CN" sz="1050"/>
              </a:p>
            </c:rich>
          </c:tx>
          <c:layout>
            <c:manualLayout>
              <c:xMode val="edge"/>
              <c:yMode val="edge"/>
              <c:x val="0.453120164191464"/>
              <c:y val="0.929851377648506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100336"/>
        <c:crosses val="autoZero"/>
        <c:crossBetween val="midCat"/>
      </c:valAx>
      <c:valAx>
        <c:axId val="306100336"/>
        <c:scaling>
          <c:orientation val="minMax"/>
          <c:max val="4.4000000000000004"/>
          <c:min val="1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lang="zh-CN"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Condensing</a:t>
                </a:r>
              </a:p>
            </c:rich>
          </c:tx>
          <c:layout>
            <c:manualLayout>
              <c:xMode val="edge"/>
              <c:yMode val="edge"/>
              <c:x val="7.335670626459209E-3"/>
              <c:y val="2.175099218260223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lang="zh-CN"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0997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97307080635029E-2"/>
          <c:y val="0.196634289759892"/>
          <c:w val="9.2414235450598098E-2"/>
          <c:h val="0.601230567911347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900">
          <a:latin typeface="+mn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30420</xdr:colOff>
      <xdr:row>0</xdr:row>
      <xdr:rowOff>107751</xdr:rowOff>
    </xdr:from>
    <xdr:to>
      <xdr:col>22</xdr:col>
      <xdr:colOff>312965</xdr:colOff>
      <xdr:row>20</xdr:row>
      <xdr:rowOff>81642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81525</xdr:colOff>
      <xdr:row>23</xdr:row>
      <xdr:rowOff>33565</xdr:rowOff>
    </xdr:from>
    <xdr:to>
      <xdr:col>22</xdr:col>
      <xdr:colOff>380999</xdr:colOff>
      <xdr:row>40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130395</xdr:colOff>
      <xdr:row>42</xdr:row>
      <xdr:rowOff>101810</xdr:rowOff>
    </xdr:from>
    <xdr:to>
      <xdr:col>22</xdr:col>
      <xdr:colOff>421821</xdr:colOff>
      <xdr:row>60</xdr:row>
      <xdr:rowOff>40820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57149</xdr:colOff>
      <xdr:row>0</xdr:row>
      <xdr:rowOff>0</xdr:rowOff>
    </xdr:from>
    <xdr:to>
      <xdr:col>19</xdr:col>
      <xdr:colOff>324649</xdr:colOff>
      <xdr:row>14</xdr:row>
      <xdr:rowOff>197445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52424</xdr:colOff>
      <xdr:row>15</xdr:row>
      <xdr:rowOff>171450</xdr:rowOff>
    </xdr:from>
    <xdr:to>
      <xdr:col>19</xdr:col>
      <xdr:colOff>300874</xdr:colOff>
      <xdr:row>30</xdr:row>
      <xdr:rowOff>119950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70957</xdr:colOff>
      <xdr:row>31</xdr:row>
      <xdr:rowOff>139402</xdr:rowOff>
    </xdr:from>
    <xdr:to>
      <xdr:col>19</xdr:col>
      <xdr:colOff>325757</xdr:colOff>
      <xdr:row>46</xdr:row>
      <xdr:rowOff>151402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92223</xdr:colOff>
      <xdr:row>0</xdr:row>
      <xdr:rowOff>51686</xdr:rowOff>
    </xdr:from>
    <xdr:to>
      <xdr:col>19</xdr:col>
      <xdr:colOff>431800</xdr:colOff>
      <xdr:row>15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66749</xdr:colOff>
      <xdr:row>15</xdr:row>
      <xdr:rowOff>114300</xdr:rowOff>
    </xdr:from>
    <xdr:to>
      <xdr:col>19</xdr:col>
      <xdr:colOff>412750</xdr:colOff>
      <xdr:row>30</xdr:row>
      <xdr:rowOff>183050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76199</xdr:colOff>
      <xdr:row>31</xdr:row>
      <xdr:rowOff>142800</xdr:rowOff>
    </xdr:from>
    <xdr:to>
      <xdr:col>19</xdr:col>
      <xdr:colOff>438150</xdr:colOff>
      <xdr:row>46</xdr:row>
      <xdr:rowOff>154800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92223</xdr:colOff>
      <xdr:row>0</xdr:row>
      <xdr:rowOff>51686</xdr:rowOff>
    </xdr:from>
    <xdr:to>
      <xdr:col>19</xdr:col>
      <xdr:colOff>431800</xdr:colOff>
      <xdr:row>15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66749</xdr:colOff>
      <xdr:row>15</xdr:row>
      <xdr:rowOff>114300</xdr:rowOff>
    </xdr:from>
    <xdr:to>
      <xdr:col>19</xdr:col>
      <xdr:colOff>412750</xdr:colOff>
      <xdr:row>30</xdr:row>
      <xdr:rowOff>183050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76199</xdr:colOff>
      <xdr:row>31</xdr:row>
      <xdr:rowOff>142800</xdr:rowOff>
    </xdr:from>
    <xdr:to>
      <xdr:col>19</xdr:col>
      <xdr:colOff>438150</xdr:colOff>
      <xdr:row>46</xdr:row>
      <xdr:rowOff>154800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23"/>
  <sheetViews>
    <sheetView workbookViewId="0">
      <selection activeCell="K8" sqref="K8"/>
    </sheetView>
  </sheetViews>
  <sheetFormatPr defaultColWidth="9" defaultRowHeight="14.4"/>
  <cols>
    <col min="1" max="1" width="6.109375" style="1" customWidth="1"/>
    <col min="2" max="2" width="11" style="1" customWidth="1"/>
    <col min="3" max="3" width="14" style="1" customWidth="1"/>
    <col min="4" max="4" width="12.6640625" style="1" customWidth="1"/>
    <col min="5" max="5" width="14.88671875" style="1" customWidth="1"/>
    <col min="6" max="6" width="9.44140625" style="1" customWidth="1"/>
    <col min="7" max="7" width="20.77734375" style="1" customWidth="1"/>
    <col min="8" max="8" width="0.88671875" style="1" customWidth="1"/>
    <col min="9" max="16384" width="9" style="1"/>
  </cols>
  <sheetData>
    <row r="1" spans="1:7" ht="31.5" customHeight="1">
      <c r="A1" s="59" t="s">
        <v>0</v>
      </c>
      <c r="B1" s="59"/>
      <c r="C1" s="59"/>
      <c r="D1" s="59"/>
      <c r="E1" s="59"/>
      <c r="F1" s="59"/>
      <c r="G1" s="59"/>
    </row>
    <row r="2" spans="1:7" ht="25.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ht="25.5" customHeight="1">
      <c r="A3" s="3" t="s">
        <v>8</v>
      </c>
      <c r="B3" s="3" t="s">
        <v>9</v>
      </c>
      <c r="C3" s="3" t="s">
        <v>10</v>
      </c>
      <c r="D3" s="3" t="s">
        <v>9</v>
      </c>
      <c r="E3" s="3" t="s">
        <v>10</v>
      </c>
      <c r="F3" s="4">
        <v>42706</v>
      </c>
      <c r="G3" s="5" t="s">
        <v>11</v>
      </c>
    </row>
    <row r="4" spans="1:7" ht="25.5" customHeight="1">
      <c r="A4" s="3"/>
      <c r="B4" s="3"/>
      <c r="C4" s="3"/>
      <c r="D4" s="3"/>
      <c r="E4" s="3"/>
      <c r="F4" s="4"/>
      <c r="G4" s="5"/>
    </row>
    <row r="5" spans="1:7" ht="25.5" customHeight="1">
      <c r="A5" s="3"/>
      <c r="B5" s="3"/>
      <c r="C5" s="3"/>
      <c r="D5" s="3"/>
      <c r="E5" s="3"/>
      <c r="F5" s="4"/>
      <c r="G5" s="5"/>
    </row>
    <row r="6" spans="1:7" ht="25.5" customHeight="1">
      <c r="A6" s="3"/>
      <c r="B6" s="3"/>
      <c r="C6" s="3"/>
      <c r="D6" s="3"/>
      <c r="E6" s="3"/>
      <c r="F6" s="4"/>
      <c r="G6" s="6"/>
    </row>
    <row r="7" spans="1:7" ht="25.5" customHeight="1">
      <c r="A7" s="7"/>
      <c r="B7" s="7"/>
      <c r="C7" s="7"/>
      <c r="D7" s="7"/>
      <c r="E7" s="7"/>
      <c r="F7" s="7"/>
      <c r="G7" s="7"/>
    </row>
    <row r="8" spans="1:7" ht="25.5" customHeight="1">
      <c r="A8" s="7"/>
      <c r="B8" s="7"/>
      <c r="C8" s="7"/>
      <c r="D8" s="7"/>
      <c r="E8" s="7"/>
      <c r="F8" s="7"/>
      <c r="G8" s="7"/>
    </row>
    <row r="9" spans="1:7" ht="25.5" customHeight="1">
      <c r="A9" s="7"/>
      <c r="B9" s="7"/>
      <c r="C9" s="7"/>
      <c r="D9" s="7"/>
      <c r="E9" s="7"/>
      <c r="F9" s="7"/>
      <c r="G9" s="7"/>
    </row>
    <row r="10" spans="1:7" ht="25.5" customHeight="1">
      <c r="A10" s="7"/>
      <c r="B10" s="7"/>
      <c r="C10" s="7"/>
      <c r="D10" s="7"/>
      <c r="E10" s="7"/>
      <c r="F10" s="7"/>
      <c r="G10" s="7"/>
    </row>
    <row r="11" spans="1:7" ht="25.5" customHeight="1">
      <c r="A11" s="7"/>
      <c r="B11" s="7"/>
      <c r="C11" s="7"/>
      <c r="D11" s="7"/>
      <c r="E11" s="7"/>
      <c r="F11" s="7"/>
      <c r="G11" s="7"/>
    </row>
    <row r="12" spans="1:7" ht="25.5" customHeight="1">
      <c r="A12" s="7"/>
      <c r="B12" s="7"/>
      <c r="C12" s="7"/>
      <c r="D12" s="7"/>
      <c r="E12" s="7"/>
      <c r="F12" s="7"/>
      <c r="G12" s="7"/>
    </row>
    <row r="13" spans="1:7" ht="25.5" customHeight="1">
      <c r="A13" s="7"/>
      <c r="B13" s="7"/>
      <c r="C13" s="7"/>
      <c r="D13" s="7"/>
      <c r="E13" s="7"/>
      <c r="F13" s="7"/>
      <c r="G13" s="7"/>
    </row>
    <row r="14" spans="1:7" ht="25.5" customHeight="1">
      <c r="A14" s="7"/>
      <c r="B14" s="7"/>
      <c r="C14" s="7"/>
      <c r="D14" s="7"/>
      <c r="E14" s="7"/>
      <c r="F14" s="7"/>
      <c r="G14" s="7"/>
    </row>
    <row r="15" spans="1:7" ht="25.5" customHeight="1">
      <c r="A15" s="7"/>
      <c r="B15" s="7"/>
      <c r="C15" s="7"/>
      <c r="D15" s="7"/>
      <c r="E15" s="7"/>
      <c r="F15" s="7"/>
      <c r="G15" s="7"/>
    </row>
    <row r="16" spans="1:7" ht="25.5" customHeight="1">
      <c r="A16" s="7"/>
      <c r="B16" s="7"/>
      <c r="C16" s="7"/>
      <c r="D16" s="7"/>
      <c r="E16" s="7"/>
      <c r="F16" s="7"/>
      <c r="G16" s="7"/>
    </row>
    <row r="17" spans="1:7" ht="25.5" customHeight="1">
      <c r="A17" s="7"/>
      <c r="B17" s="7"/>
      <c r="C17" s="7"/>
      <c r="D17" s="7"/>
      <c r="E17" s="7"/>
      <c r="F17" s="7"/>
      <c r="G17" s="7"/>
    </row>
    <row r="18" spans="1:7" ht="25.5" customHeight="1">
      <c r="A18" s="7"/>
      <c r="B18" s="7"/>
      <c r="C18" s="7"/>
      <c r="D18" s="7"/>
      <c r="E18" s="7"/>
      <c r="F18" s="7"/>
      <c r="G18" s="7"/>
    </row>
    <row r="19" spans="1:7" ht="25.5" customHeight="1">
      <c r="A19" s="7"/>
      <c r="B19" s="7"/>
      <c r="C19" s="7"/>
      <c r="D19" s="7"/>
      <c r="E19" s="7"/>
      <c r="F19" s="7"/>
      <c r="G19" s="7"/>
    </row>
    <row r="20" spans="1:7" ht="25.5" customHeight="1">
      <c r="A20" s="7"/>
      <c r="B20" s="7"/>
      <c r="C20" s="7"/>
      <c r="D20" s="7"/>
      <c r="E20" s="7"/>
      <c r="F20" s="7"/>
      <c r="G20" s="7"/>
    </row>
    <row r="21" spans="1:7" ht="25.5" customHeight="1">
      <c r="A21" s="7"/>
      <c r="B21" s="7"/>
      <c r="C21" s="7"/>
      <c r="D21" s="7"/>
      <c r="E21" s="7"/>
      <c r="F21" s="7"/>
      <c r="G21" s="7"/>
    </row>
    <row r="22" spans="1:7" ht="25.5" customHeight="1">
      <c r="A22" s="7"/>
      <c r="B22" s="7"/>
      <c r="C22" s="7"/>
      <c r="D22" s="7"/>
      <c r="E22" s="7"/>
      <c r="F22" s="7"/>
      <c r="G22" s="7"/>
    </row>
    <row r="23" spans="1:7" ht="25.5" customHeight="1">
      <c r="A23" s="7"/>
      <c r="B23" s="7"/>
      <c r="C23" s="7"/>
      <c r="D23" s="7"/>
      <c r="E23" s="7"/>
      <c r="F23" s="7"/>
      <c r="G23" s="7"/>
    </row>
  </sheetData>
  <mergeCells count="1">
    <mergeCell ref="A1:G1"/>
  </mergeCells>
  <phoneticPr fontId="1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M79"/>
  <sheetViews>
    <sheetView showGridLines="0" topLeftCell="A7" zoomScale="90" zoomScaleNormal="90" workbookViewId="0">
      <selection activeCell="O83" sqref="O83"/>
    </sheetView>
  </sheetViews>
  <sheetFormatPr defaultColWidth="9" defaultRowHeight="18" customHeight="1"/>
  <cols>
    <col min="1" max="1" width="0.77734375" style="8" customWidth="1"/>
    <col min="2" max="2" width="14.109375" style="8" customWidth="1"/>
    <col min="3" max="5" width="8.6640625" style="8" customWidth="1"/>
    <col min="6" max="6" width="13.33203125" style="20" customWidth="1"/>
    <col min="7" max="7" width="9.6640625" style="8" customWidth="1"/>
    <col min="8" max="8" width="10.44140625" style="8" customWidth="1"/>
    <col min="9" max="9" width="10.33203125" style="8" customWidth="1"/>
    <col min="10" max="10" width="1.33203125" style="8" customWidth="1"/>
    <col min="11" max="19" width="9" style="8"/>
    <col min="20" max="20" width="9" style="8" customWidth="1"/>
    <col min="21" max="21" width="2.88671875" style="8" customWidth="1"/>
    <col min="22" max="16384" width="9" style="8"/>
  </cols>
  <sheetData>
    <row r="1" spans="2:11" ht="23.4">
      <c r="B1" s="60" t="s">
        <v>12</v>
      </c>
      <c r="C1" s="60"/>
      <c r="D1" s="60"/>
      <c r="E1" s="60"/>
      <c r="F1" s="61"/>
      <c r="G1" s="60"/>
      <c r="H1" s="60"/>
      <c r="I1" s="60"/>
    </row>
    <row r="2" spans="2:11" ht="17.399999999999999" customHeight="1">
      <c r="B2" s="62" t="s">
        <v>13</v>
      </c>
      <c r="C2" s="62"/>
      <c r="D2" s="62"/>
      <c r="E2" s="62"/>
      <c r="F2" s="63"/>
      <c r="G2" s="62"/>
      <c r="H2" s="62"/>
      <c r="I2" s="62"/>
      <c r="J2" s="28"/>
      <c r="K2" s="29"/>
    </row>
    <row r="3" spans="2:11" ht="17.399999999999999" customHeight="1">
      <c r="B3" s="64" t="s">
        <v>27</v>
      </c>
      <c r="C3" s="64"/>
      <c r="D3" s="64"/>
      <c r="E3" s="64"/>
      <c r="F3" s="64"/>
      <c r="G3" s="88" t="s">
        <v>61</v>
      </c>
      <c r="H3" s="89"/>
      <c r="I3" s="90"/>
      <c r="J3" s="30"/>
    </row>
    <row r="4" spans="2:11" ht="17.399999999999999" customHeight="1">
      <c r="B4" s="85" t="s">
        <v>41</v>
      </c>
      <c r="C4" s="86"/>
      <c r="D4" s="86"/>
      <c r="E4" s="86"/>
      <c r="F4" s="87"/>
      <c r="G4" s="88" t="s">
        <v>53</v>
      </c>
      <c r="H4" s="89"/>
      <c r="I4" s="90"/>
      <c r="J4" s="30"/>
    </row>
    <row r="5" spans="2:11" ht="17.399999999999999" customHeight="1">
      <c r="B5" s="64" t="s">
        <v>28</v>
      </c>
      <c r="C5" s="64"/>
      <c r="D5" s="64"/>
      <c r="E5" s="64"/>
      <c r="F5" s="64"/>
      <c r="G5" s="88" t="s">
        <v>54</v>
      </c>
      <c r="H5" s="89"/>
      <c r="I5" s="90"/>
      <c r="J5" s="30"/>
    </row>
    <row r="6" spans="2:11" ht="17.399999999999999" customHeight="1">
      <c r="B6" s="64" t="s">
        <v>29</v>
      </c>
      <c r="C6" s="64"/>
      <c r="D6" s="64"/>
      <c r="E6" s="64"/>
      <c r="F6" s="64"/>
      <c r="G6" s="88" t="s">
        <v>30</v>
      </c>
      <c r="H6" s="89"/>
      <c r="I6" s="90"/>
      <c r="J6" s="30"/>
    </row>
    <row r="7" spans="2:11" ht="17.399999999999999" customHeight="1">
      <c r="B7" s="64" t="s">
        <v>31</v>
      </c>
      <c r="C7" s="64"/>
      <c r="D7" s="64"/>
      <c r="E7" s="64"/>
      <c r="F7" s="64"/>
      <c r="G7" s="88" t="s">
        <v>51</v>
      </c>
      <c r="H7" s="89"/>
      <c r="I7" s="90"/>
      <c r="J7" s="31"/>
    </row>
    <row r="8" spans="2:11" ht="17.399999999999999" customHeight="1">
      <c r="B8" s="64" t="s">
        <v>32</v>
      </c>
      <c r="C8" s="64"/>
      <c r="D8" s="64"/>
      <c r="E8" s="64"/>
      <c r="F8" s="64"/>
      <c r="G8" s="88" t="s">
        <v>33</v>
      </c>
      <c r="H8" s="89"/>
      <c r="I8" s="90"/>
      <c r="J8" s="30"/>
    </row>
    <row r="9" spans="2:11" ht="17.399999999999999" customHeight="1">
      <c r="B9" s="64" t="s">
        <v>34</v>
      </c>
      <c r="C9" s="64"/>
      <c r="D9" s="64"/>
      <c r="E9" s="64"/>
      <c r="F9" s="64"/>
      <c r="G9" s="88" t="s">
        <v>35</v>
      </c>
      <c r="H9" s="89"/>
      <c r="I9" s="90"/>
      <c r="J9" s="30"/>
    </row>
    <row r="10" spans="2:11" ht="17.399999999999999" customHeight="1">
      <c r="B10" s="83"/>
      <c r="C10" s="83"/>
      <c r="D10" s="83"/>
      <c r="E10" s="83"/>
      <c r="F10" s="84"/>
      <c r="G10" s="83"/>
      <c r="H10" s="83"/>
      <c r="I10" s="83"/>
      <c r="J10" s="32"/>
    </row>
    <row r="11" spans="2:11" ht="17.399999999999999" customHeight="1">
      <c r="B11" s="74" t="s">
        <v>42</v>
      </c>
      <c r="C11" s="74"/>
      <c r="D11" s="74"/>
      <c r="E11" s="74"/>
      <c r="F11" s="75"/>
      <c r="G11" s="74"/>
      <c r="H11" s="74"/>
      <c r="I11" s="74"/>
      <c r="J11" s="33"/>
      <c r="K11" s="33"/>
    </row>
    <row r="12" spans="2:11" ht="17.399999999999999" customHeight="1">
      <c r="B12" s="68" t="s">
        <v>68</v>
      </c>
      <c r="C12" s="69"/>
      <c r="D12" s="69"/>
      <c r="E12" s="69"/>
      <c r="F12" s="70"/>
      <c r="G12" s="69"/>
      <c r="H12" s="69"/>
      <c r="I12" s="71"/>
      <c r="J12" s="23"/>
    </row>
    <row r="13" spans="2:11" ht="17.399999999999999" customHeight="1">
      <c r="B13" s="68" t="s">
        <v>52</v>
      </c>
      <c r="C13" s="69"/>
      <c r="D13" s="69"/>
      <c r="E13" s="69"/>
      <c r="F13" s="70"/>
      <c r="G13" s="69"/>
      <c r="H13" s="69"/>
      <c r="I13" s="71"/>
      <c r="J13" s="23"/>
    </row>
    <row r="14" spans="2:11" ht="17.399999999999999" customHeight="1">
      <c r="B14" s="77" t="s">
        <v>14</v>
      </c>
      <c r="C14" s="65" t="s">
        <v>15</v>
      </c>
      <c r="D14" s="66"/>
      <c r="E14" s="67"/>
      <c r="F14" s="19" t="s">
        <v>16</v>
      </c>
      <c r="G14" s="65" t="s">
        <v>17</v>
      </c>
      <c r="H14" s="66"/>
      <c r="I14" s="67"/>
      <c r="J14" s="24"/>
    </row>
    <row r="15" spans="2:11" ht="17.399999999999999" customHeight="1">
      <c r="B15" s="78"/>
      <c r="C15" s="80" t="s">
        <v>43</v>
      </c>
      <c r="D15" s="81"/>
      <c r="E15" s="82"/>
      <c r="F15" s="46" t="s">
        <v>45</v>
      </c>
      <c r="G15" s="80" t="s">
        <v>44</v>
      </c>
      <c r="H15" s="81"/>
      <c r="I15" s="82"/>
      <c r="J15" s="24"/>
    </row>
    <row r="16" spans="2:11" ht="17.399999999999999" customHeight="1">
      <c r="B16" s="11" t="s">
        <v>25</v>
      </c>
      <c r="C16" s="19" t="s">
        <v>18</v>
      </c>
      <c r="D16" s="19" t="s">
        <v>19</v>
      </c>
      <c r="E16" s="21" t="s">
        <v>20</v>
      </c>
      <c r="F16" s="19" t="s">
        <v>18</v>
      </c>
      <c r="G16" s="21" t="s">
        <v>21</v>
      </c>
      <c r="H16" s="21" t="s">
        <v>22</v>
      </c>
      <c r="I16" s="21" t="s">
        <v>23</v>
      </c>
      <c r="J16" s="24"/>
    </row>
    <row r="17" spans="2:12" ht="17.399999999999999" customHeight="1">
      <c r="B17" s="21">
        <v>-35</v>
      </c>
      <c r="C17" s="49">
        <v>126.60247455270041</v>
      </c>
      <c r="D17" s="9">
        <f>C17*3.41</f>
        <v>431.71443822470843</v>
      </c>
      <c r="E17" s="9">
        <f>C17*0.86</f>
        <v>108.87812811532235</v>
      </c>
      <c r="F17" s="50">
        <v>90.279153313447765</v>
      </c>
      <c r="G17" s="13">
        <f>C17/F17</f>
        <v>1.4023445048619216</v>
      </c>
      <c r="H17" s="14">
        <f>D17/F17</f>
        <v>4.7819947615791527</v>
      </c>
      <c r="I17" s="14">
        <f>E17/F17</f>
        <v>1.2060162741812526</v>
      </c>
      <c r="J17" s="25"/>
      <c r="L17" s="26"/>
    </row>
    <row r="18" spans="2:12" ht="17.399999999999999" customHeight="1">
      <c r="B18" s="21">
        <v>-30</v>
      </c>
      <c r="C18" s="49">
        <v>159.19075480873741</v>
      </c>
      <c r="D18" s="9">
        <f t="shared" ref="D18:D22" si="0">C18*3.41</f>
        <v>542.8404738977946</v>
      </c>
      <c r="E18" s="9">
        <f t="shared" ref="E18:E22" si="1">C18*0.86</f>
        <v>136.90404913551416</v>
      </c>
      <c r="F18" s="50">
        <v>105.47662725419623</v>
      </c>
      <c r="G18" s="13">
        <f t="shared" ref="G18:G22" si="2">C18/F18</f>
        <v>1.5092514707082108</v>
      </c>
      <c r="H18" s="14">
        <f t="shared" ref="H18:H22" si="3">D18/F18</f>
        <v>5.1465475151149986</v>
      </c>
      <c r="I18" s="14">
        <f t="shared" ref="I18:I22" si="4">E18/F18</f>
        <v>1.2979562648090612</v>
      </c>
      <c r="J18" s="25"/>
      <c r="L18" s="26"/>
    </row>
    <row r="19" spans="2:12" ht="17.399999999999999" customHeight="1">
      <c r="B19" s="21">
        <v>-25</v>
      </c>
      <c r="C19" s="49">
        <v>199.00329420878455</v>
      </c>
      <c r="D19" s="9">
        <f t="shared" si="0"/>
        <v>678.60123325195536</v>
      </c>
      <c r="E19" s="9">
        <f t="shared" si="1"/>
        <v>171.1428330195547</v>
      </c>
      <c r="F19" s="50">
        <v>121.10874367936796</v>
      </c>
      <c r="G19" s="13">
        <f t="shared" si="2"/>
        <v>1.6431785861443684</v>
      </c>
      <c r="H19" s="14">
        <f t="shared" si="3"/>
        <v>5.6032389787522963</v>
      </c>
      <c r="I19" s="14">
        <f t="shared" si="4"/>
        <v>1.4131335840841566</v>
      </c>
      <c r="J19" s="25"/>
      <c r="L19" s="26"/>
    </row>
    <row r="20" spans="2:12" ht="17.399999999999999" customHeight="1">
      <c r="B20" s="21">
        <v>-20</v>
      </c>
      <c r="C20" s="49">
        <v>247.22899976895181</v>
      </c>
      <c r="D20" s="9">
        <f t="shared" si="0"/>
        <v>843.05088921212575</v>
      </c>
      <c r="E20" s="9">
        <f t="shared" si="1"/>
        <v>212.61693980129854</v>
      </c>
      <c r="F20" s="50">
        <v>136.7463842013276</v>
      </c>
      <c r="G20" s="13">
        <f t="shared" si="2"/>
        <v>1.8079381126813852</v>
      </c>
      <c r="H20" s="14">
        <f t="shared" si="3"/>
        <v>6.1650689642435239</v>
      </c>
      <c r="I20" s="14">
        <f t="shared" si="4"/>
        <v>1.5548267769059911</v>
      </c>
      <c r="J20" s="25"/>
      <c r="K20" s="27"/>
    </row>
    <row r="21" spans="2:12" ht="17.399999999999999" customHeight="1">
      <c r="B21" s="21">
        <v>-15</v>
      </c>
      <c r="C21" s="49">
        <v>305.0567785053496</v>
      </c>
      <c r="D21" s="9">
        <f t="shared" si="0"/>
        <v>1040.2436147032422</v>
      </c>
      <c r="E21" s="9">
        <f t="shared" si="1"/>
        <v>262.34882951460065</v>
      </c>
      <c r="F21" s="50">
        <v>151.96043043243981</v>
      </c>
      <c r="G21" s="13">
        <f>C21/F21</f>
        <v>2.0074750883321233</v>
      </c>
      <c r="H21" s="14">
        <f t="shared" si="3"/>
        <v>6.8454900512125416</v>
      </c>
      <c r="I21" s="14">
        <f t="shared" si="4"/>
        <v>1.7264285759656262</v>
      </c>
      <c r="J21" s="25"/>
      <c r="K21" s="27"/>
    </row>
    <row r="22" spans="2:12" ht="17.399999999999999" customHeight="1">
      <c r="B22" s="21">
        <v>-10</v>
      </c>
      <c r="C22" s="49">
        <v>373.67553743408791</v>
      </c>
      <c r="D22" s="9">
        <f t="shared" si="0"/>
        <v>1274.2335826502399</v>
      </c>
      <c r="E22" s="9">
        <f t="shared" si="1"/>
        <v>321.36096219331563</v>
      </c>
      <c r="F22" s="50">
        <v>166.32176398506914</v>
      </c>
      <c r="G22" s="13">
        <f t="shared" si="2"/>
        <v>2.2467025870867574</v>
      </c>
      <c r="H22" s="14">
        <f t="shared" si="3"/>
        <v>7.6612558219658435</v>
      </c>
      <c r="I22" s="14">
        <f t="shared" si="4"/>
        <v>1.9321642248946116</v>
      </c>
      <c r="J22" s="25"/>
      <c r="K22" s="27"/>
    </row>
    <row r="23" spans="2:12" ht="17.399999999999999" customHeight="1">
      <c r="B23" s="15"/>
    </row>
    <row r="24" spans="2:12" ht="17.399999999999999" customHeight="1">
      <c r="B24" s="72" t="s">
        <v>69</v>
      </c>
      <c r="C24" s="72"/>
      <c r="D24" s="72"/>
      <c r="E24" s="72"/>
      <c r="F24" s="73"/>
      <c r="G24" s="72"/>
      <c r="H24" s="72"/>
      <c r="I24" s="72"/>
      <c r="J24" s="23"/>
    </row>
    <row r="25" spans="2:12" ht="17.399999999999999" customHeight="1">
      <c r="B25" s="68" t="s">
        <v>52</v>
      </c>
      <c r="C25" s="69"/>
      <c r="D25" s="69"/>
      <c r="E25" s="69"/>
      <c r="F25" s="70"/>
      <c r="G25" s="69"/>
      <c r="H25" s="69"/>
      <c r="I25" s="71"/>
      <c r="J25" s="23"/>
    </row>
    <row r="26" spans="2:12" ht="17.399999999999999" customHeight="1">
      <c r="B26" s="77" t="s">
        <v>14</v>
      </c>
      <c r="C26" s="65" t="s">
        <v>15</v>
      </c>
      <c r="D26" s="66"/>
      <c r="E26" s="67"/>
      <c r="F26" s="19" t="s">
        <v>16</v>
      </c>
      <c r="G26" s="65" t="s">
        <v>17</v>
      </c>
      <c r="H26" s="66"/>
      <c r="I26" s="67"/>
      <c r="J26" s="24"/>
    </row>
    <row r="27" spans="2:12" ht="17.399999999999999" customHeight="1">
      <c r="B27" s="78"/>
      <c r="C27" s="80" t="s">
        <v>43</v>
      </c>
      <c r="D27" s="81"/>
      <c r="E27" s="82"/>
      <c r="F27" s="46" t="s">
        <v>45</v>
      </c>
      <c r="G27" s="80" t="s">
        <v>44</v>
      </c>
      <c r="H27" s="81"/>
      <c r="I27" s="82"/>
      <c r="J27" s="24"/>
    </row>
    <row r="28" spans="2:12" ht="25.8" customHeight="1">
      <c r="B28" s="11" t="s">
        <v>25</v>
      </c>
      <c r="C28" s="10" t="s">
        <v>18</v>
      </c>
      <c r="D28" s="10" t="s">
        <v>19</v>
      </c>
      <c r="E28" s="11" t="s">
        <v>20</v>
      </c>
      <c r="F28" s="10" t="s">
        <v>18</v>
      </c>
      <c r="G28" s="11" t="s">
        <v>21</v>
      </c>
      <c r="H28" s="11" t="s">
        <v>22</v>
      </c>
      <c r="I28" s="11" t="s">
        <v>23</v>
      </c>
      <c r="J28" s="24"/>
    </row>
    <row r="29" spans="2:12" ht="17.399999999999999" customHeight="1">
      <c r="B29" s="18">
        <v>-35</v>
      </c>
      <c r="C29" s="49">
        <v>131.61557098881164</v>
      </c>
      <c r="D29" s="9">
        <f>C29*3.41</f>
        <v>448.8090970718477</v>
      </c>
      <c r="E29" s="9">
        <f>C29*0.86</f>
        <v>113.18939105037801</v>
      </c>
      <c r="F29" s="50">
        <v>86.922831307169446</v>
      </c>
      <c r="G29" s="13">
        <f>C29/F29</f>
        <v>1.5141657146866996</v>
      </c>
      <c r="H29" s="14">
        <f>D29/F29</f>
        <v>5.1633050870816453</v>
      </c>
      <c r="I29" s="14">
        <f>E29/F29</f>
        <v>1.3021825146305614</v>
      </c>
      <c r="J29" s="25"/>
    </row>
    <row r="30" spans="2:12" ht="17.399999999999999" customHeight="1">
      <c r="B30" s="18">
        <v>-30</v>
      </c>
      <c r="C30" s="49">
        <v>164.20901967896489</v>
      </c>
      <c r="D30" s="9">
        <f t="shared" ref="D30:D34" si="5">C30*3.41</f>
        <v>559.95275710527028</v>
      </c>
      <c r="E30" s="9">
        <f t="shared" ref="E30:E34" si="6">C30*0.86</f>
        <v>141.21975692390981</v>
      </c>
      <c r="F30" s="50">
        <v>101.09717316522547</v>
      </c>
      <c r="G30" s="13">
        <f t="shared" ref="G30:G32" si="7">C30/F30</f>
        <v>1.6242691515280478</v>
      </c>
      <c r="H30" s="14">
        <f t="shared" ref="H30:H34" si="8">D30/F30</f>
        <v>5.5387578067106427</v>
      </c>
      <c r="I30" s="14">
        <f t="shared" ref="I30:I34" si="9">E30/F30</f>
        <v>1.3968714703141212</v>
      </c>
      <c r="J30" s="25"/>
    </row>
    <row r="31" spans="2:12" ht="17.399999999999999" customHeight="1">
      <c r="B31" s="18">
        <v>-25</v>
      </c>
      <c r="C31" s="49">
        <v>204.02791969312196</v>
      </c>
      <c r="D31" s="9">
        <f t="shared" si="5"/>
        <v>695.73520615354596</v>
      </c>
      <c r="E31" s="9">
        <f t="shared" si="6"/>
        <v>175.46401093608489</v>
      </c>
      <c r="F31" s="50">
        <v>115.48807749140046</v>
      </c>
      <c r="G31" s="13">
        <f t="shared" si="7"/>
        <v>1.7666578587587485</v>
      </c>
      <c r="H31" s="14">
        <f t="shared" si="8"/>
        <v>6.0243032983673332</v>
      </c>
      <c r="I31" s="14">
        <f t="shared" si="9"/>
        <v>1.5193257585325237</v>
      </c>
      <c r="J31" s="25"/>
    </row>
    <row r="32" spans="2:12" ht="17.399999999999999" customHeight="1">
      <c r="B32" s="18">
        <v>-20</v>
      </c>
      <c r="C32" s="49">
        <v>252.26117804739289</v>
      </c>
      <c r="D32" s="9">
        <f t="shared" si="5"/>
        <v>860.21061714160976</v>
      </c>
      <c r="E32" s="9">
        <f t="shared" si="6"/>
        <v>216.94461312075788</v>
      </c>
      <c r="F32" s="50">
        <v>129.66642589805903</v>
      </c>
      <c r="G32" s="13">
        <f t="shared" si="7"/>
        <v>1.9454625690517238</v>
      </c>
      <c r="H32" s="14">
        <f t="shared" si="8"/>
        <v>6.6340273604663782</v>
      </c>
      <c r="I32" s="14">
        <f t="shared" si="9"/>
        <v>1.6730978093844824</v>
      </c>
      <c r="J32" s="25"/>
    </row>
    <row r="33" spans="2:13" ht="17.399999999999999" customHeight="1">
      <c r="B33" s="18">
        <v>-15</v>
      </c>
      <c r="C33" s="49">
        <v>310.09770175788805</v>
      </c>
      <c r="D33" s="9">
        <f t="shared" si="5"/>
        <v>1057.4331629943983</v>
      </c>
      <c r="E33" s="9">
        <f t="shared" si="6"/>
        <v>266.68402351178372</v>
      </c>
      <c r="F33" s="50">
        <v>143.20309999756583</v>
      </c>
      <c r="G33" s="13">
        <f>C33/F33</f>
        <v>2.1654398666171271</v>
      </c>
      <c r="H33" s="14">
        <f t="shared" si="8"/>
        <v>7.3841499451644035</v>
      </c>
      <c r="I33" s="14">
        <f t="shared" si="9"/>
        <v>1.8622782852907291</v>
      </c>
      <c r="J33" s="25"/>
    </row>
    <row r="34" spans="2:13" ht="17.399999999999999" customHeight="1">
      <c r="B34" s="18">
        <v>-10</v>
      </c>
      <c r="C34" s="49">
        <v>378.72639784071748</v>
      </c>
      <c r="D34" s="9">
        <f t="shared" si="5"/>
        <v>1291.4570166368467</v>
      </c>
      <c r="E34" s="9">
        <f t="shared" si="6"/>
        <v>325.70470214301702</v>
      </c>
      <c r="F34" s="50">
        <v>155.66898140228545</v>
      </c>
      <c r="G34" s="13">
        <f t="shared" ref="G34" si="10">C34/F34</f>
        <v>2.4328957151842534</v>
      </c>
      <c r="H34" s="14">
        <f t="shared" si="8"/>
        <v>8.2961743887783044</v>
      </c>
      <c r="I34" s="14">
        <f t="shared" si="9"/>
        <v>2.0922903150584578</v>
      </c>
      <c r="J34" s="25"/>
    </row>
    <row r="35" spans="2:13" ht="17.399999999999999" customHeight="1">
      <c r="B35" s="15"/>
    </row>
    <row r="36" spans="2:13" ht="17.399999999999999" customHeight="1">
      <c r="B36" s="72" t="s">
        <v>70</v>
      </c>
      <c r="C36" s="72"/>
      <c r="D36" s="72"/>
      <c r="E36" s="72"/>
      <c r="F36" s="73"/>
      <c r="G36" s="72"/>
      <c r="H36" s="72"/>
      <c r="I36" s="72"/>
      <c r="J36" s="23"/>
      <c r="M36" s="8" t="s">
        <v>24</v>
      </c>
    </row>
    <row r="37" spans="2:13" ht="17.399999999999999" customHeight="1">
      <c r="B37" s="68" t="s">
        <v>52</v>
      </c>
      <c r="C37" s="69"/>
      <c r="D37" s="69"/>
      <c r="E37" s="69"/>
      <c r="F37" s="70"/>
      <c r="G37" s="69"/>
      <c r="H37" s="69"/>
      <c r="I37" s="71"/>
      <c r="J37" s="23"/>
    </row>
    <row r="38" spans="2:13" ht="17.399999999999999" customHeight="1">
      <c r="B38" s="77" t="s">
        <v>14</v>
      </c>
      <c r="C38" s="65" t="s">
        <v>15</v>
      </c>
      <c r="D38" s="66"/>
      <c r="E38" s="67"/>
      <c r="F38" s="19" t="s">
        <v>16</v>
      </c>
      <c r="G38" s="65" t="s">
        <v>17</v>
      </c>
      <c r="H38" s="66"/>
      <c r="I38" s="67"/>
      <c r="J38" s="24"/>
    </row>
    <row r="39" spans="2:13" ht="17.399999999999999" customHeight="1">
      <c r="B39" s="78"/>
      <c r="C39" s="80" t="s">
        <v>43</v>
      </c>
      <c r="D39" s="81"/>
      <c r="E39" s="82"/>
      <c r="F39" s="46" t="s">
        <v>45</v>
      </c>
      <c r="G39" s="80" t="s">
        <v>44</v>
      </c>
      <c r="H39" s="81"/>
      <c r="I39" s="82"/>
      <c r="J39" s="24"/>
    </row>
    <row r="40" spans="2:13" ht="17.399999999999999" customHeight="1">
      <c r="B40" s="11" t="s">
        <v>25</v>
      </c>
      <c r="C40" s="10" t="s">
        <v>18</v>
      </c>
      <c r="D40" s="10" t="s">
        <v>19</v>
      </c>
      <c r="E40" s="11" t="s">
        <v>20</v>
      </c>
      <c r="F40" s="10" t="s">
        <v>18</v>
      </c>
      <c r="G40" s="11" t="s">
        <v>21</v>
      </c>
      <c r="H40" s="11" t="s">
        <v>22</v>
      </c>
      <c r="I40" s="11" t="s">
        <v>23</v>
      </c>
      <c r="J40" s="24"/>
    </row>
    <row r="41" spans="2:13" ht="17.399999999999999" customHeight="1">
      <c r="B41" s="21">
        <v>-35</v>
      </c>
      <c r="C41" s="49">
        <v>136.62605259845111</v>
      </c>
      <c r="D41" s="9">
        <f>C41*3.41</f>
        <v>465.89483936071832</v>
      </c>
      <c r="E41" s="9">
        <f>C41*0.86</f>
        <v>117.49840523466796</v>
      </c>
      <c r="F41" s="50">
        <v>83.401558404979724</v>
      </c>
      <c r="G41" s="13">
        <f>C41/F41</f>
        <v>1.6381714587996652</v>
      </c>
      <c r="H41" s="14">
        <f>D41/F41</f>
        <v>5.5861646745068585</v>
      </c>
      <c r="I41" s="14">
        <f>E41/F41</f>
        <v>1.408827454567712</v>
      </c>
      <c r="J41" s="25"/>
    </row>
    <row r="42" spans="2:13" ht="17.399999999999999" customHeight="1">
      <c r="B42" s="21">
        <v>-30</v>
      </c>
      <c r="C42" s="49">
        <v>169.22368888471502</v>
      </c>
      <c r="D42" s="9">
        <f t="shared" ref="D42:D46" si="11">C42*3.41</f>
        <v>577.05277909687823</v>
      </c>
      <c r="E42" s="9">
        <f t="shared" ref="E42:E46" si="12">C42*0.86</f>
        <v>145.53237244085491</v>
      </c>
      <c r="F42" s="50">
        <v>96.494113730493424</v>
      </c>
      <c r="G42" s="13">
        <f t="shared" ref="G42:G44" si="13">C42/F42</f>
        <v>1.7537203290695449</v>
      </c>
      <c r="H42" s="14">
        <f t="shared" ref="H42:H46" si="14">D42/F42</f>
        <v>5.9801863221271478</v>
      </c>
      <c r="I42" s="14">
        <f t="shared" ref="I42:I46" si="15">E42/F42</f>
        <v>1.5081994829998087</v>
      </c>
      <c r="J42" s="25"/>
      <c r="K42" s="27"/>
    </row>
    <row r="43" spans="2:13" ht="17.399999999999999" customHeight="1">
      <c r="B43" s="21">
        <v>-25</v>
      </c>
      <c r="C43" s="49">
        <v>209.04796867497649</v>
      </c>
      <c r="D43" s="9">
        <f t="shared" si="11"/>
        <v>712.85357318166984</v>
      </c>
      <c r="E43" s="9">
        <f t="shared" si="12"/>
        <v>179.78125306047977</v>
      </c>
      <c r="F43" s="50">
        <v>109.58515150782176</v>
      </c>
      <c r="G43" s="13">
        <f t="shared" si="13"/>
        <v>1.9076304207149402</v>
      </c>
      <c r="H43" s="14">
        <f t="shared" si="14"/>
        <v>6.5050197346379459</v>
      </c>
      <c r="I43" s="14">
        <f t="shared" si="15"/>
        <v>1.6405621618148485</v>
      </c>
      <c r="J43" s="25"/>
      <c r="K43" s="27"/>
    </row>
    <row r="44" spans="2:13" ht="17.399999999999999" customHeight="1">
      <c r="B44" s="21">
        <v>-20</v>
      </c>
      <c r="C44" s="49">
        <v>257.28779898534555</v>
      </c>
      <c r="D44" s="9">
        <f t="shared" si="11"/>
        <v>877.35139454002831</v>
      </c>
      <c r="E44" s="9">
        <f t="shared" si="12"/>
        <v>221.26750712739715</v>
      </c>
      <c r="F44" s="50">
        <v>122.24555334932936</v>
      </c>
      <c r="G44" s="13">
        <f t="shared" si="13"/>
        <v>2.1046802271009315</v>
      </c>
      <c r="H44" s="14">
        <f t="shared" si="14"/>
        <v>7.1769595744141768</v>
      </c>
      <c r="I44" s="14">
        <f t="shared" si="15"/>
        <v>1.8100249953068011</v>
      </c>
      <c r="J44" s="25"/>
      <c r="K44" s="27"/>
    </row>
    <row r="45" spans="2:13" ht="17.399999999999999" customHeight="1">
      <c r="B45" s="21">
        <v>-15</v>
      </c>
      <c r="C45" s="49">
        <v>315.13208683193255</v>
      </c>
      <c r="D45" s="9">
        <f t="shared" si="11"/>
        <v>1074.6004160968901</v>
      </c>
      <c r="E45" s="9">
        <f t="shared" si="12"/>
        <v>271.013594675462</v>
      </c>
      <c r="F45" s="50">
        <v>134.04620086738089</v>
      </c>
      <c r="G45" s="13">
        <f>C45/F45</f>
        <v>2.3509214344963767</v>
      </c>
      <c r="H45" s="14">
        <f t="shared" si="14"/>
        <v>8.0166420916326455</v>
      </c>
      <c r="I45" s="14">
        <f t="shared" si="15"/>
        <v>2.0217924336668842</v>
      </c>
      <c r="J45" s="25"/>
    </row>
    <row r="46" spans="2:13" ht="17.399999999999999" customHeight="1">
      <c r="B46" s="21">
        <v>-10</v>
      </c>
      <c r="C46" s="49">
        <v>383.76973923084756</v>
      </c>
      <c r="D46" s="9">
        <f t="shared" si="11"/>
        <v>1308.6548107771903</v>
      </c>
      <c r="E46" s="9">
        <f t="shared" si="12"/>
        <v>330.04197573852889</v>
      </c>
      <c r="F46" s="50">
        <v>144.55797567434092</v>
      </c>
      <c r="G46" s="13">
        <f t="shared" ref="G46" si="16">C46/F46</f>
        <v>2.6547808063901019</v>
      </c>
      <c r="H46" s="14">
        <f t="shared" si="14"/>
        <v>9.0528025497902487</v>
      </c>
      <c r="I46" s="14">
        <f t="shared" si="15"/>
        <v>2.2831114934954879</v>
      </c>
      <c r="J46" s="25"/>
    </row>
    <row r="47" spans="2:13" ht="18" customHeight="1">
      <c r="B47" s="15"/>
    </row>
    <row r="48" spans="2:13" ht="18" customHeight="1">
      <c r="B48" s="72" t="s">
        <v>71</v>
      </c>
      <c r="C48" s="72"/>
      <c r="D48" s="72"/>
      <c r="E48" s="72"/>
      <c r="F48" s="73"/>
      <c r="G48" s="72"/>
      <c r="H48" s="72"/>
      <c r="I48" s="72"/>
      <c r="J48" s="23"/>
    </row>
    <row r="49" spans="2:10" ht="18" customHeight="1">
      <c r="B49" s="68" t="s">
        <v>52</v>
      </c>
      <c r="C49" s="69"/>
      <c r="D49" s="69"/>
      <c r="E49" s="69"/>
      <c r="F49" s="70"/>
      <c r="G49" s="69"/>
      <c r="H49" s="69"/>
      <c r="I49" s="71"/>
      <c r="J49" s="23"/>
    </row>
    <row r="50" spans="2:10" ht="18" customHeight="1">
      <c r="B50" s="77" t="s">
        <v>14</v>
      </c>
      <c r="C50" s="65" t="s">
        <v>15</v>
      </c>
      <c r="D50" s="66"/>
      <c r="E50" s="67"/>
      <c r="F50" s="19" t="s">
        <v>16</v>
      </c>
      <c r="G50" s="65" t="s">
        <v>17</v>
      </c>
      <c r="H50" s="66"/>
      <c r="I50" s="67"/>
      <c r="J50" s="24"/>
    </row>
    <row r="51" spans="2:10" ht="18" customHeight="1">
      <c r="B51" s="78"/>
      <c r="C51" s="80" t="s">
        <v>43</v>
      </c>
      <c r="D51" s="81"/>
      <c r="E51" s="82"/>
      <c r="F51" s="46" t="s">
        <v>45</v>
      </c>
      <c r="G51" s="80" t="s">
        <v>44</v>
      </c>
      <c r="H51" s="81"/>
      <c r="I51" s="82"/>
      <c r="J51" s="24"/>
    </row>
    <row r="52" spans="2:10" ht="18" customHeight="1">
      <c r="B52" s="11" t="s">
        <v>25</v>
      </c>
      <c r="C52" s="10" t="s">
        <v>18</v>
      </c>
      <c r="D52" s="10" t="s">
        <v>19</v>
      </c>
      <c r="E52" s="11" t="s">
        <v>20</v>
      </c>
      <c r="F52" s="10" t="s">
        <v>18</v>
      </c>
      <c r="G52" s="11" t="s">
        <v>21</v>
      </c>
      <c r="H52" s="11" t="s">
        <v>22</v>
      </c>
      <c r="I52" s="11" t="s">
        <v>23</v>
      </c>
      <c r="J52" s="24"/>
    </row>
    <row r="53" spans="2:10" ht="18" customHeight="1">
      <c r="B53" s="18">
        <v>-35</v>
      </c>
      <c r="C53" s="49">
        <v>141.63391938161868</v>
      </c>
      <c r="D53" s="9">
        <f>C53*3.41</f>
        <v>482.97166509131972</v>
      </c>
      <c r="E53" s="9">
        <f>C53*0.86</f>
        <v>121.80517066819206</v>
      </c>
      <c r="F53" s="50">
        <v>79.706066938427583</v>
      </c>
      <c r="G53" s="13">
        <f>C53/F53</f>
        <v>1.7769528070056444</v>
      </c>
      <c r="H53" s="14">
        <f>D53/F53</f>
        <v>6.0594090718892479</v>
      </c>
      <c r="I53" s="14">
        <f>E53/F53</f>
        <v>1.5281794140248541</v>
      </c>
      <c r="J53" s="25"/>
    </row>
    <row r="54" spans="2:10" ht="18" customHeight="1">
      <c r="B54" s="18">
        <v>-30</v>
      </c>
      <c r="C54" s="49">
        <v>174.23476242598781</v>
      </c>
      <c r="D54" s="9">
        <f t="shared" ref="D54:D58" si="17">C54*3.41</f>
        <v>594.14053987261843</v>
      </c>
      <c r="E54" s="9">
        <f t="shared" ref="E54:E58" si="18">C54*0.86</f>
        <v>149.84189568634952</v>
      </c>
      <c r="F54" s="50">
        <v>91.658181281549048</v>
      </c>
      <c r="G54" s="13">
        <f t="shared" ref="G54:G56" si="19">C54/F54</f>
        <v>1.9009188267742945</v>
      </c>
      <c r="H54" s="14">
        <f t="shared" ref="H54:H58" si="20">D54/F54</f>
        <v>6.4821331993003444</v>
      </c>
      <c r="I54" s="14">
        <f t="shared" ref="I54:I58" si="21">E54/F54</f>
        <v>1.6347901910258933</v>
      </c>
      <c r="J54" s="25"/>
    </row>
    <row r="55" spans="2:10" ht="18" customHeight="1">
      <c r="B55" s="18">
        <v>-25</v>
      </c>
      <c r="C55" s="49">
        <v>214.06344115434814</v>
      </c>
      <c r="D55" s="9">
        <f t="shared" si="17"/>
        <v>729.95633433632725</v>
      </c>
      <c r="E55" s="9">
        <f t="shared" si="18"/>
        <v>184.0945593927394</v>
      </c>
      <c r="F55" s="50">
        <v>103.3906980601809</v>
      </c>
      <c r="G55" s="13">
        <f t="shared" si="19"/>
        <v>2.0704323035883525</v>
      </c>
      <c r="H55" s="14">
        <f t="shared" si="20"/>
        <v>7.0601741552362833</v>
      </c>
      <c r="I55" s="14">
        <f t="shared" si="21"/>
        <v>1.7805717810859831</v>
      </c>
      <c r="J55" s="25"/>
    </row>
    <row r="56" spans="2:10" ht="18" customHeight="1">
      <c r="B56" s="18">
        <v>-20</v>
      </c>
      <c r="C56" s="49">
        <v>262.30886258280987</v>
      </c>
      <c r="D56" s="9">
        <f t="shared" si="17"/>
        <v>894.47322140738163</v>
      </c>
      <c r="E56" s="9">
        <f t="shared" si="18"/>
        <v>225.58562182121648</v>
      </c>
      <c r="F56" s="50">
        <v>114.47449888668764</v>
      </c>
      <c r="G56" s="13">
        <f t="shared" si="19"/>
        <v>2.2914174347463692</v>
      </c>
      <c r="H56" s="14">
        <f t="shared" si="20"/>
        <v>7.8137334524851179</v>
      </c>
      <c r="I56" s="14">
        <f t="shared" si="21"/>
        <v>1.9706189938818772</v>
      </c>
      <c r="J56" s="25"/>
    </row>
    <row r="57" spans="2:10" ht="18" customHeight="1">
      <c r="B57" s="18">
        <v>-15</v>
      </c>
      <c r="C57" s="49">
        <v>320.15993372748329</v>
      </c>
      <c r="D57" s="9">
        <f t="shared" si="17"/>
        <v>1091.745374010718</v>
      </c>
      <c r="E57" s="9">
        <f t="shared" si="18"/>
        <v>275.33754300563561</v>
      </c>
      <c r="F57" s="50">
        <v>124.48046537343394</v>
      </c>
      <c r="G57" s="13">
        <f>C57/F57</f>
        <v>2.5719692866428692</v>
      </c>
      <c r="H57" s="14">
        <f t="shared" si="20"/>
        <v>8.7704152674521847</v>
      </c>
      <c r="I57" s="14">
        <f t="shared" si="21"/>
        <v>2.2118935865128675</v>
      </c>
      <c r="J57" s="25"/>
    </row>
    <row r="58" spans="2:10" ht="18" customHeight="1">
      <c r="B58" s="18">
        <v>-10</v>
      </c>
      <c r="C58" s="49">
        <v>388.80556160447838</v>
      </c>
      <c r="D58" s="9">
        <f t="shared" si="17"/>
        <v>1325.8269650712714</v>
      </c>
      <c r="E58" s="9">
        <f t="shared" si="18"/>
        <v>334.37278297985142</v>
      </c>
      <c r="F58" s="50">
        <v>132.97947913278452</v>
      </c>
      <c r="G58" s="13">
        <f t="shared" ref="G58" si="22">C58/F58</f>
        <v>2.9238012070737835</v>
      </c>
      <c r="H58" s="14">
        <f t="shared" si="20"/>
        <v>9.9701621161216032</v>
      </c>
      <c r="I58" s="14">
        <f t="shared" si="21"/>
        <v>2.5144690380834538</v>
      </c>
      <c r="J58" s="25"/>
    </row>
    <row r="59" spans="2:10" ht="18" customHeight="1">
      <c r="B59" s="15"/>
    </row>
    <row r="60" spans="2:10" ht="18" customHeight="1">
      <c r="B60" s="68" t="s">
        <v>72</v>
      </c>
      <c r="C60" s="69"/>
      <c r="D60" s="69"/>
      <c r="E60" s="69"/>
      <c r="F60" s="70"/>
      <c r="G60" s="69"/>
      <c r="H60" s="69"/>
      <c r="I60" s="71"/>
      <c r="J60" s="23"/>
    </row>
    <row r="61" spans="2:10" ht="18" customHeight="1">
      <c r="B61" s="68" t="s">
        <v>52</v>
      </c>
      <c r="C61" s="69"/>
      <c r="D61" s="69"/>
      <c r="E61" s="69"/>
      <c r="F61" s="70"/>
      <c r="G61" s="69"/>
      <c r="H61" s="69"/>
      <c r="I61" s="71"/>
      <c r="J61" s="23"/>
    </row>
    <row r="62" spans="2:10" ht="18" customHeight="1">
      <c r="B62" s="77" t="s">
        <v>14</v>
      </c>
      <c r="C62" s="65" t="s">
        <v>15</v>
      </c>
      <c r="D62" s="66"/>
      <c r="E62" s="67"/>
      <c r="F62" s="19" t="s">
        <v>16</v>
      </c>
      <c r="G62" s="65" t="s">
        <v>17</v>
      </c>
      <c r="H62" s="66"/>
      <c r="I62" s="67"/>
      <c r="J62" s="24"/>
    </row>
    <row r="63" spans="2:10" ht="18" customHeight="1">
      <c r="B63" s="78"/>
      <c r="C63" s="80" t="s">
        <v>43</v>
      </c>
      <c r="D63" s="81"/>
      <c r="E63" s="82"/>
      <c r="F63" s="46" t="s">
        <v>45</v>
      </c>
      <c r="G63" s="80" t="s">
        <v>44</v>
      </c>
      <c r="H63" s="81"/>
      <c r="I63" s="82"/>
      <c r="J63" s="24"/>
    </row>
    <row r="64" spans="2:10" ht="18" customHeight="1">
      <c r="B64" s="11" t="s">
        <v>25</v>
      </c>
      <c r="C64" s="10" t="s">
        <v>18</v>
      </c>
      <c r="D64" s="10" t="s">
        <v>19</v>
      </c>
      <c r="E64" s="11" t="s">
        <v>20</v>
      </c>
      <c r="F64" s="10" t="s">
        <v>18</v>
      </c>
      <c r="G64" s="11" t="s">
        <v>21</v>
      </c>
      <c r="H64" s="11" t="s">
        <v>22</v>
      </c>
      <c r="I64" s="11" t="s">
        <v>23</v>
      </c>
      <c r="J64" s="24"/>
    </row>
    <row r="65" spans="2:11" ht="18" customHeight="1">
      <c r="B65" s="18">
        <v>-35</v>
      </c>
      <c r="C65" s="49">
        <v>146.63917133831444</v>
      </c>
      <c r="D65" s="9">
        <f>C65*3.41</f>
        <v>500.03957426365224</v>
      </c>
      <c r="E65" s="9">
        <f>C65*0.86</f>
        <v>126.10968735095042</v>
      </c>
      <c r="F65" s="50">
        <v>75.827089239062076</v>
      </c>
      <c r="G65" s="13">
        <f>C65/F65</f>
        <v>1.9338625919821508</v>
      </c>
      <c r="H65" s="14">
        <f>D65/F65</f>
        <v>6.5944714386591343</v>
      </c>
      <c r="I65" s="14">
        <f>E65/F65</f>
        <v>1.6631218291046497</v>
      </c>
      <c r="J65" s="25"/>
    </row>
    <row r="66" spans="2:11" ht="18" customHeight="1">
      <c r="B66" s="18">
        <v>-30</v>
      </c>
      <c r="C66" s="49">
        <v>179.24224030278316</v>
      </c>
      <c r="D66" s="9">
        <f t="shared" ref="D66:D70" si="23">C66*3.41</f>
        <v>611.21603943249056</v>
      </c>
      <c r="E66" s="9">
        <f t="shared" ref="E66:E70" si="24">C66*0.86</f>
        <v>154.14832666039351</v>
      </c>
      <c r="F66" s="50">
        <v>86.580108149941424</v>
      </c>
      <c r="G66" s="13">
        <f t="shared" ref="G66:G68" si="25">C66/F66</f>
        <v>2.0702473597326456</v>
      </c>
      <c r="H66" s="14">
        <f t="shared" ref="H66:H70" si="26">D66/F66</f>
        <v>7.0595434966883222</v>
      </c>
      <c r="I66" s="14">
        <f t="shared" ref="I66:I70" si="27">E66/F66</f>
        <v>1.7804127293700753</v>
      </c>
      <c r="J66" s="25"/>
      <c r="K66" s="27"/>
    </row>
    <row r="67" spans="2:11" ht="18" customHeight="1">
      <c r="B67" s="18">
        <v>-25</v>
      </c>
      <c r="C67" s="49">
        <v>219.07433713123692</v>
      </c>
      <c r="D67" s="9">
        <f t="shared" si="23"/>
        <v>747.04348961751793</v>
      </c>
      <c r="E67" s="9">
        <f t="shared" si="24"/>
        <v>188.40392993286375</v>
      </c>
      <c r="F67" s="50">
        <v>96.895449480026912</v>
      </c>
      <c r="G67" s="13">
        <f t="shared" si="25"/>
        <v>2.2609352483203535</v>
      </c>
      <c r="H67" s="14">
        <f t="shared" si="26"/>
        <v>7.7097891967724062</v>
      </c>
      <c r="I67" s="14">
        <f t="shared" si="27"/>
        <v>1.944404313555504</v>
      </c>
      <c r="J67" s="25"/>
    </row>
    <row r="68" spans="2:11" ht="18" customHeight="1">
      <c r="B68" s="18">
        <v>-20</v>
      </c>
      <c r="C68" s="49">
        <v>267.32436883978573</v>
      </c>
      <c r="D68" s="9">
        <f t="shared" si="23"/>
        <v>911.57609774366938</v>
      </c>
      <c r="E68" s="9">
        <f t="shared" si="24"/>
        <v>229.89895720221574</v>
      </c>
      <c r="F68" s="50">
        <v>106.34399484168287</v>
      </c>
      <c r="G68" s="13">
        <f t="shared" si="25"/>
        <v>2.5137702343960147</v>
      </c>
      <c r="H68" s="14">
        <f t="shared" si="26"/>
        <v>8.57195649929041</v>
      </c>
      <c r="I68" s="14">
        <f t="shared" si="27"/>
        <v>2.1618424015805728</v>
      </c>
      <c r="J68" s="25"/>
    </row>
    <row r="69" spans="2:11" ht="18" customHeight="1">
      <c r="B69" s="18">
        <v>-15</v>
      </c>
      <c r="C69" s="49">
        <v>325.18124244453998</v>
      </c>
      <c r="D69" s="9">
        <f t="shared" si="23"/>
        <v>1108.8680367358813</v>
      </c>
      <c r="E69" s="9">
        <f t="shared" si="24"/>
        <v>279.65586850230437</v>
      </c>
      <c r="F69" s="50">
        <v>114.49662584727415</v>
      </c>
      <c r="G69" s="13">
        <f>C69/F69</f>
        <v>2.8400945446051469</v>
      </c>
      <c r="H69" s="14">
        <f t="shared" si="26"/>
        <v>9.6847223971035508</v>
      </c>
      <c r="I69" s="14">
        <f t="shared" si="27"/>
        <v>2.4424813083604264</v>
      </c>
      <c r="J69" s="25"/>
    </row>
    <row r="70" spans="2:11" ht="18" customHeight="1">
      <c r="B70" s="18">
        <v>-10</v>
      </c>
      <c r="C70" s="49">
        <v>393.83386496160966</v>
      </c>
      <c r="D70" s="9">
        <f t="shared" si="23"/>
        <v>1342.9734795190891</v>
      </c>
      <c r="E70" s="9">
        <f t="shared" si="24"/>
        <v>338.69712386698433</v>
      </c>
      <c r="F70" s="50">
        <v>120.92422410916532</v>
      </c>
      <c r="G70" s="13">
        <f t="shared" ref="G70" si="28">C70/F70</f>
        <v>3.2568649322576837</v>
      </c>
      <c r="H70" s="14">
        <f t="shared" si="26"/>
        <v>11.105909418998703</v>
      </c>
      <c r="I70" s="14">
        <f t="shared" si="27"/>
        <v>2.8009038417416079</v>
      </c>
      <c r="J70" s="25"/>
    </row>
    <row r="71" spans="2:11" ht="18" customHeight="1">
      <c r="B71" s="32"/>
      <c r="C71" s="30"/>
      <c r="D71" s="41"/>
      <c r="E71" s="41"/>
      <c r="F71" s="52"/>
      <c r="G71" s="43"/>
      <c r="H71" s="44"/>
      <c r="I71" s="44"/>
      <c r="J71" s="25"/>
    </row>
    <row r="72" spans="2:11" ht="18" customHeight="1">
      <c r="B72" s="32"/>
      <c r="C72" s="30"/>
      <c r="D72" s="41"/>
      <c r="E72" s="41"/>
      <c r="F72" s="52"/>
      <c r="G72" s="43"/>
      <c r="H72" s="44"/>
      <c r="I72" s="44"/>
      <c r="J72" s="25"/>
    </row>
    <row r="73" spans="2:11" ht="18" customHeight="1">
      <c r="B73" s="72" t="s">
        <v>73</v>
      </c>
      <c r="C73" s="72"/>
      <c r="D73" s="72"/>
      <c r="E73" s="72"/>
      <c r="F73" s="79"/>
      <c r="G73" s="72"/>
      <c r="H73" s="72"/>
      <c r="I73" s="72"/>
      <c r="J73" s="25"/>
    </row>
    <row r="74" spans="2:11" ht="18" customHeight="1">
      <c r="B74" s="68" t="s">
        <v>52</v>
      </c>
      <c r="C74" s="69"/>
      <c r="D74" s="69"/>
      <c r="E74" s="69"/>
      <c r="F74" s="70"/>
      <c r="G74" s="69"/>
      <c r="H74" s="69"/>
      <c r="I74" s="71"/>
      <c r="J74" s="25"/>
    </row>
    <row r="75" spans="2:11" ht="18" customHeight="1">
      <c r="B75" s="77" t="s">
        <v>48</v>
      </c>
      <c r="C75" s="65" t="s">
        <v>15</v>
      </c>
      <c r="D75" s="66"/>
      <c r="E75" s="67"/>
      <c r="F75" s="19" t="s">
        <v>16</v>
      </c>
      <c r="G75" s="65" t="s">
        <v>17</v>
      </c>
      <c r="H75" s="66"/>
      <c r="I75" s="67"/>
      <c r="J75" s="25"/>
    </row>
    <row r="76" spans="2:11" ht="18" customHeight="1">
      <c r="B76" s="78"/>
      <c r="C76" s="80" t="s">
        <v>43</v>
      </c>
      <c r="D76" s="81"/>
      <c r="E76" s="82"/>
      <c r="F76" s="46" t="s">
        <v>45</v>
      </c>
      <c r="G76" s="80" t="s">
        <v>44</v>
      </c>
      <c r="H76" s="81"/>
      <c r="I76" s="82"/>
      <c r="J76" s="25"/>
    </row>
    <row r="77" spans="2:11" ht="18" customHeight="1">
      <c r="B77" s="47" t="s">
        <v>25</v>
      </c>
      <c r="C77" s="10" t="s">
        <v>18</v>
      </c>
      <c r="D77" s="10" t="s">
        <v>19</v>
      </c>
      <c r="E77" s="47" t="s">
        <v>20</v>
      </c>
      <c r="F77" s="12" t="s">
        <v>18</v>
      </c>
      <c r="G77" s="47" t="s">
        <v>21</v>
      </c>
      <c r="H77" s="47" t="s">
        <v>22</v>
      </c>
      <c r="I77" s="47" t="s">
        <v>23</v>
      </c>
      <c r="J77" s="25"/>
    </row>
    <row r="78" spans="2:11" ht="18" customHeight="1">
      <c r="B78" s="51" t="s">
        <v>49</v>
      </c>
      <c r="C78" s="48">
        <v>215</v>
      </c>
      <c r="D78" s="9">
        <f>C78*3.412</f>
        <v>733.57999999999993</v>
      </c>
      <c r="E78" s="9">
        <f>C78*0.86</f>
        <v>184.9</v>
      </c>
      <c r="F78" s="50">
        <f>C78/G78</f>
        <v>125.73099415204679</v>
      </c>
      <c r="G78" s="13">
        <f>1.71</f>
        <v>1.71</v>
      </c>
      <c r="H78" s="14">
        <f>G78*3.412</f>
        <v>5.8345199999999995</v>
      </c>
      <c r="I78" s="14">
        <f>G78*0.86</f>
        <v>1.4705999999999999</v>
      </c>
      <c r="J78" s="25"/>
    </row>
    <row r="79" spans="2:11" ht="18" customHeight="1">
      <c r="B79" s="76" t="s">
        <v>26</v>
      </c>
      <c r="C79" s="76"/>
      <c r="D79" s="76"/>
      <c r="E79" s="76"/>
      <c r="F79" s="76"/>
      <c r="G79" s="76"/>
      <c r="H79" s="76"/>
      <c r="I79" s="76"/>
    </row>
  </sheetData>
  <mergeCells count="61">
    <mergeCell ref="G3:I3"/>
    <mergeCell ref="G4:I4"/>
    <mergeCell ref="G5:I5"/>
    <mergeCell ref="G6:I6"/>
    <mergeCell ref="G7:I7"/>
    <mergeCell ref="B75:B76"/>
    <mergeCell ref="C76:E76"/>
    <mergeCell ref="G76:I76"/>
    <mergeCell ref="B4:F4"/>
    <mergeCell ref="G8:I8"/>
    <mergeCell ref="G9:I9"/>
    <mergeCell ref="B62:B63"/>
    <mergeCell ref="C63:E63"/>
    <mergeCell ref="G63:I63"/>
    <mergeCell ref="B14:B15"/>
    <mergeCell ref="C15:E15"/>
    <mergeCell ref="G15:I15"/>
    <mergeCell ref="B26:B27"/>
    <mergeCell ref="C27:E27"/>
    <mergeCell ref="G27:I27"/>
    <mergeCell ref="B37:I37"/>
    <mergeCell ref="G51:I51"/>
    <mergeCell ref="B10:I10"/>
    <mergeCell ref="G39:I39"/>
    <mergeCell ref="B50:B51"/>
    <mergeCell ref="C51:E51"/>
    <mergeCell ref="B36:I36"/>
    <mergeCell ref="C26:E26"/>
    <mergeCell ref="C39:E39"/>
    <mergeCell ref="B79:I79"/>
    <mergeCell ref="B60:I60"/>
    <mergeCell ref="C38:E38"/>
    <mergeCell ref="B61:I61"/>
    <mergeCell ref="C62:E62"/>
    <mergeCell ref="G62:I62"/>
    <mergeCell ref="G50:I50"/>
    <mergeCell ref="B49:I49"/>
    <mergeCell ref="C50:E50"/>
    <mergeCell ref="B48:I48"/>
    <mergeCell ref="G38:I38"/>
    <mergeCell ref="B38:B39"/>
    <mergeCell ref="C75:E75"/>
    <mergeCell ref="G75:I75"/>
    <mergeCell ref="B73:I73"/>
    <mergeCell ref="B74:I74"/>
    <mergeCell ref="B1:I1"/>
    <mergeCell ref="B2:I2"/>
    <mergeCell ref="B9:F9"/>
    <mergeCell ref="G26:I26"/>
    <mergeCell ref="B3:F3"/>
    <mergeCell ref="B25:I25"/>
    <mergeCell ref="G14:I14"/>
    <mergeCell ref="B13:I13"/>
    <mergeCell ref="B12:I12"/>
    <mergeCell ref="C14:E14"/>
    <mergeCell ref="B8:F8"/>
    <mergeCell ref="B24:I24"/>
    <mergeCell ref="B11:I11"/>
    <mergeCell ref="B5:F5"/>
    <mergeCell ref="B7:F7"/>
    <mergeCell ref="B6:F6"/>
  </mergeCells>
  <phoneticPr fontId="11" type="noConversion"/>
  <pageMargins left="0.511811023622047" right="0.511811023622047" top="0.35433070866141703" bottom="0.35433070866141703" header="0.31496062992126" footer="0.31496062992126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B1:M67"/>
  <sheetViews>
    <sheetView showGridLines="0" zoomScale="80" zoomScaleNormal="80" workbookViewId="0">
      <selection activeCell="P67" sqref="P67"/>
    </sheetView>
  </sheetViews>
  <sheetFormatPr defaultColWidth="9" defaultRowHeight="18" customHeight="1"/>
  <cols>
    <col min="1" max="1" width="0.88671875" style="8" customWidth="1"/>
    <col min="2" max="2" width="14.109375" style="8" customWidth="1"/>
    <col min="3" max="5" width="8.6640625" style="8" customWidth="1"/>
    <col min="6" max="6" width="11.88671875" style="16" bestFit="1" customWidth="1"/>
    <col min="7" max="7" width="8.88671875" style="8" customWidth="1"/>
    <col min="8" max="9" width="9.6640625" style="8" customWidth="1"/>
    <col min="10" max="10" width="2.77734375" style="8" customWidth="1"/>
    <col min="11" max="19" width="9" style="8"/>
    <col min="20" max="20" width="5.33203125" style="8" customWidth="1"/>
    <col min="21" max="16384" width="9" style="8"/>
  </cols>
  <sheetData>
    <row r="1" spans="2:12" ht="15.9" customHeight="1">
      <c r="B1" s="68" t="s">
        <v>36</v>
      </c>
      <c r="C1" s="69"/>
      <c r="D1" s="69"/>
      <c r="E1" s="69"/>
      <c r="F1" s="91"/>
      <c r="G1" s="69"/>
      <c r="H1" s="69"/>
      <c r="I1" s="71"/>
      <c r="J1" s="23"/>
    </row>
    <row r="2" spans="2:12" ht="15.9" customHeight="1">
      <c r="B2" s="68" t="s">
        <v>52</v>
      </c>
      <c r="C2" s="69"/>
      <c r="D2" s="69"/>
      <c r="E2" s="69"/>
      <c r="F2" s="70"/>
      <c r="G2" s="69"/>
      <c r="H2" s="69"/>
      <c r="I2" s="71"/>
      <c r="J2" s="23"/>
    </row>
    <row r="3" spans="2:12" ht="15.9" customHeight="1">
      <c r="B3" s="77" t="s">
        <v>14</v>
      </c>
      <c r="C3" s="65" t="s">
        <v>15</v>
      </c>
      <c r="D3" s="66"/>
      <c r="E3" s="67"/>
      <c r="F3" s="19" t="s">
        <v>16</v>
      </c>
      <c r="G3" s="65" t="s">
        <v>17</v>
      </c>
      <c r="H3" s="66"/>
      <c r="I3" s="67"/>
      <c r="J3" s="24"/>
    </row>
    <row r="4" spans="2:12" ht="15.9" customHeight="1">
      <c r="B4" s="78"/>
      <c r="C4" s="80" t="s">
        <v>43</v>
      </c>
      <c r="D4" s="81"/>
      <c r="E4" s="82"/>
      <c r="F4" s="46" t="s">
        <v>45</v>
      </c>
      <c r="G4" s="80" t="s">
        <v>44</v>
      </c>
      <c r="H4" s="81"/>
      <c r="I4" s="82"/>
      <c r="J4" s="24"/>
    </row>
    <row r="5" spans="2:12" ht="15.9" customHeight="1">
      <c r="B5" s="21" t="s">
        <v>25</v>
      </c>
      <c r="C5" s="19" t="s">
        <v>18</v>
      </c>
      <c r="D5" s="19" t="s">
        <v>19</v>
      </c>
      <c r="E5" s="21" t="s">
        <v>20</v>
      </c>
      <c r="F5" s="9" t="s">
        <v>18</v>
      </c>
      <c r="G5" s="21" t="s">
        <v>21</v>
      </c>
      <c r="H5" s="21" t="s">
        <v>22</v>
      </c>
      <c r="I5" s="21" t="s">
        <v>23</v>
      </c>
      <c r="J5" s="24"/>
    </row>
    <row r="6" spans="2:12" ht="15.9" customHeight="1">
      <c r="B6" s="21">
        <v>-35</v>
      </c>
      <c r="C6" s="49">
        <v>98.203782559539377</v>
      </c>
      <c r="D6" s="9">
        <f>C6*3.41</f>
        <v>334.87489852802929</v>
      </c>
      <c r="E6" s="9">
        <f>C6*0.86</f>
        <v>84.455253001203857</v>
      </c>
      <c r="F6" s="49">
        <v>63.445349604334389</v>
      </c>
      <c r="G6" s="13">
        <f t="shared" ref="G6:G11" si="0">C6/F6</f>
        <v>1.5478483950670894</v>
      </c>
      <c r="H6" s="14">
        <f t="shared" ref="H6:H11" si="1">D6/F6</f>
        <v>5.2781630271787749</v>
      </c>
      <c r="I6" s="14">
        <f t="shared" ref="I6:I11" si="2">E6/F6</f>
        <v>1.3311496197576966</v>
      </c>
      <c r="J6" s="25"/>
      <c r="L6" s="26"/>
    </row>
    <row r="7" spans="2:12" ht="15.9" customHeight="1">
      <c r="B7" s="21">
        <v>-30</v>
      </c>
      <c r="C7" s="49">
        <v>123.51653978167045</v>
      </c>
      <c r="D7" s="9">
        <f t="shared" ref="D7:D11" si="3">C7*3.41</f>
        <v>421.19140065549624</v>
      </c>
      <c r="E7" s="9">
        <f t="shared" ref="E7:E11" si="4">C7*0.86</f>
        <v>106.22422421223658</v>
      </c>
      <c r="F7" s="49">
        <v>74.125656318397475</v>
      </c>
      <c r="G7" s="13">
        <f t="shared" si="0"/>
        <v>1.6663129328814388</v>
      </c>
      <c r="H7" s="14">
        <f t="shared" si="1"/>
        <v>5.6821271011257064</v>
      </c>
      <c r="I7" s="14">
        <f t="shared" si="2"/>
        <v>1.4330291222780371</v>
      </c>
      <c r="J7" s="25"/>
      <c r="L7" s="26"/>
    </row>
    <row r="8" spans="2:12" ht="15.9" customHeight="1">
      <c r="B8" s="21">
        <v>-25</v>
      </c>
      <c r="C8" s="49">
        <v>154.44069829240473</v>
      </c>
      <c r="D8" s="9">
        <f t="shared" si="3"/>
        <v>526.64278117710012</v>
      </c>
      <c r="E8" s="9">
        <f t="shared" si="4"/>
        <v>132.81900053146808</v>
      </c>
      <c r="F8" s="49">
        <v>85.111416100694257</v>
      </c>
      <c r="G8" s="13">
        <f t="shared" si="0"/>
        <v>1.8145708926953803</v>
      </c>
      <c r="H8" s="14">
        <f t="shared" si="1"/>
        <v>6.1876867440912466</v>
      </c>
      <c r="I8" s="14">
        <f t="shared" si="2"/>
        <v>1.560530967718027</v>
      </c>
      <c r="J8" s="25"/>
      <c r="L8" s="26"/>
    </row>
    <row r="9" spans="2:12" ht="15.9" customHeight="1">
      <c r="B9" s="21">
        <v>-20</v>
      </c>
      <c r="C9" s="49">
        <v>191.89973470425559</v>
      </c>
      <c r="D9" s="9">
        <f t="shared" si="3"/>
        <v>654.37809534151165</v>
      </c>
      <c r="E9" s="9">
        <f t="shared" si="4"/>
        <v>165.0337718456598</v>
      </c>
      <c r="F9" s="49">
        <v>96.10105804447673</v>
      </c>
      <c r="G9" s="13">
        <f t="shared" si="0"/>
        <v>1.9968535061855623</v>
      </c>
      <c r="H9" s="14">
        <f t="shared" si="1"/>
        <v>6.8092704560927686</v>
      </c>
      <c r="I9" s="14">
        <f t="shared" si="2"/>
        <v>1.7172940153195835</v>
      </c>
      <c r="J9" s="25"/>
      <c r="K9" s="27"/>
    </row>
    <row r="10" spans="2:12" ht="15.9" customHeight="1">
      <c r="B10" s="21">
        <v>-15</v>
      </c>
      <c r="C10" s="49">
        <v>236.81712562973669</v>
      </c>
      <c r="D10" s="9">
        <f t="shared" si="3"/>
        <v>807.54639839740219</v>
      </c>
      <c r="E10" s="9">
        <f t="shared" si="4"/>
        <v>203.66272804157356</v>
      </c>
      <c r="F10" s="49">
        <v>106.79301124299701</v>
      </c>
      <c r="G10" s="13">
        <f t="shared" si="0"/>
        <v>2.2175339272986934</v>
      </c>
      <c r="H10" s="14">
        <f t="shared" si="1"/>
        <v>7.5617906920885458</v>
      </c>
      <c r="I10" s="14">
        <f t="shared" si="2"/>
        <v>1.9070791774768765</v>
      </c>
      <c r="J10" s="25"/>
      <c r="K10" s="27"/>
    </row>
    <row r="11" spans="2:12" ht="15.9" customHeight="1">
      <c r="B11" s="21">
        <v>-10</v>
      </c>
      <c r="C11" s="49">
        <v>290.11634768136128</v>
      </c>
      <c r="D11" s="9">
        <f t="shared" si="3"/>
        <v>989.29674559344198</v>
      </c>
      <c r="E11" s="9">
        <f t="shared" si="4"/>
        <v>249.50005900597068</v>
      </c>
      <c r="F11" s="49">
        <v>116.88570478950706</v>
      </c>
      <c r="G11" s="13">
        <f t="shared" si="0"/>
        <v>2.4820515751161838</v>
      </c>
      <c r="H11" s="14">
        <f t="shared" si="1"/>
        <v>8.4637958711461874</v>
      </c>
      <c r="I11" s="14">
        <f t="shared" si="2"/>
        <v>2.134564354599918</v>
      </c>
      <c r="J11" s="25"/>
      <c r="K11" s="27"/>
    </row>
    <row r="12" spans="2:12" ht="15.9" customHeight="1">
      <c r="B12" s="39"/>
      <c r="C12" s="40"/>
      <c r="D12" s="41"/>
      <c r="E12" s="41"/>
      <c r="F12" s="42"/>
      <c r="G12" s="43"/>
      <c r="H12" s="44"/>
      <c r="I12" s="44"/>
      <c r="J12" s="25"/>
      <c r="K12" s="27"/>
    </row>
    <row r="13" spans="2:12" ht="15.9" customHeight="1">
      <c r="B13" s="72" t="s">
        <v>37</v>
      </c>
      <c r="C13" s="72"/>
      <c r="D13" s="72"/>
      <c r="E13" s="72"/>
      <c r="F13" s="79"/>
      <c r="G13" s="72"/>
      <c r="H13" s="72"/>
      <c r="I13" s="72"/>
      <c r="J13" s="23"/>
    </row>
    <row r="14" spans="2:12" ht="15.9" customHeight="1">
      <c r="B14" s="68" t="s">
        <v>52</v>
      </c>
      <c r="C14" s="69"/>
      <c r="D14" s="69"/>
      <c r="E14" s="69"/>
      <c r="F14" s="70"/>
      <c r="G14" s="69"/>
      <c r="H14" s="69"/>
      <c r="I14" s="71"/>
      <c r="J14" s="23"/>
    </row>
    <row r="15" spans="2:12" ht="15.9" customHeight="1">
      <c r="B15" s="77" t="s">
        <v>14</v>
      </c>
      <c r="C15" s="65" t="s">
        <v>15</v>
      </c>
      <c r="D15" s="66"/>
      <c r="E15" s="67"/>
      <c r="F15" s="19" t="s">
        <v>16</v>
      </c>
      <c r="G15" s="65" t="s">
        <v>17</v>
      </c>
      <c r="H15" s="66"/>
      <c r="I15" s="67"/>
      <c r="J15" s="24"/>
    </row>
    <row r="16" spans="2:12" ht="15.9" customHeight="1">
      <c r="B16" s="78"/>
      <c r="C16" s="80" t="s">
        <v>43</v>
      </c>
      <c r="D16" s="81"/>
      <c r="E16" s="82"/>
      <c r="F16" s="46" t="s">
        <v>45</v>
      </c>
      <c r="G16" s="80" t="s">
        <v>44</v>
      </c>
      <c r="H16" s="81"/>
      <c r="I16" s="82"/>
      <c r="J16" s="24"/>
    </row>
    <row r="17" spans="2:13" ht="15.9" customHeight="1">
      <c r="B17" s="11" t="s">
        <v>25</v>
      </c>
      <c r="C17" s="10" t="s">
        <v>18</v>
      </c>
      <c r="D17" s="10" t="s">
        <v>19</v>
      </c>
      <c r="E17" s="11" t="s">
        <v>20</v>
      </c>
      <c r="F17" s="12" t="s">
        <v>18</v>
      </c>
      <c r="G17" s="11" t="s">
        <v>21</v>
      </c>
      <c r="H17" s="11" t="s">
        <v>22</v>
      </c>
      <c r="I17" s="11" t="s">
        <v>23</v>
      </c>
      <c r="J17" s="24"/>
    </row>
    <row r="18" spans="2:13" ht="15.9" customHeight="1">
      <c r="B18" s="17">
        <v>-35</v>
      </c>
      <c r="C18" s="49">
        <v>103.21395514014671</v>
      </c>
      <c r="D18" s="9">
        <f>C18*3.41</f>
        <v>351.95958702790028</v>
      </c>
      <c r="E18" s="9">
        <f>C18*0.86</f>
        <v>88.764001420526171</v>
      </c>
      <c r="F18" s="49">
        <v>61.086632057065032</v>
      </c>
      <c r="G18" s="13">
        <f t="shared" ref="G18:G23" si="5">C18/F18</f>
        <v>1.6896324394464535</v>
      </c>
      <c r="H18" s="14">
        <f t="shared" ref="H18:H23" si="6">D18/F18</f>
        <v>5.7616466185124064</v>
      </c>
      <c r="I18" s="14">
        <f t="shared" ref="I18:I23" si="7">E18/F18</f>
        <v>1.45308389792395</v>
      </c>
      <c r="J18" s="25"/>
    </row>
    <row r="19" spans="2:13" ht="15.9" customHeight="1">
      <c r="B19" s="17">
        <v>-30</v>
      </c>
      <c r="C19" s="49">
        <v>128.53072691342854</v>
      </c>
      <c r="D19" s="9">
        <f t="shared" ref="D19:D23" si="8">C19*3.41</f>
        <v>438.28977877479133</v>
      </c>
      <c r="E19" s="9">
        <f t="shared" ref="E19:E23" si="9">C19*0.86</f>
        <v>110.53642514554853</v>
      </c>
      <c r="F19" s="49">
        <v>71.047913721652364</v>
      </c>
      <c r="G19" s="13">
        <f t="shared" si="5"/>
        <v>1.8090710927414309</v>
      </c>
      <c r="H19" s="14">
        <f t="shared" si="6"/>
        <v>6.1689324262482792</v>
      </c>
      <c r="I19" s="14">
        <f t="shared" si="7"/>
        <v>1.5558011397576303</v>
      </c>
      <c r="J19" s="25"/>
    </row>
    <row r="20" spans="2:13" ht="15.9" customHeight="1">
      <c r="B20" s="17">
        <v>-25</v>
      </c>
      <c r="C20" s="49">
        <v>159.45982599419241</v>
      </c>
      <c r="D20" s="9">
        <f t="shared" si="8"/>
        <v>543.75800664019619</v>
      </c>
      <c r="E20" s="9">
        <f t="shared" si="9"/>
        <v>137.13545035500547</v>
      </c>
      <c r="F20" s="49">
        <v>81.161388677788182</v>
      </c>
      <c r="G20" s="13">
        <f t="shared" si="5"/>
        <v>1.9647252048292334</v>
      </c>
      <c r="H20" s="14">
        <f t="shared" si="6"/>
        <v>6.6997129484676865</v>
      </c>
      <c r="I20" s="14">
        <f t="shared" si="7"/>
        <v>1.6896636761531407</v>
      </c>
      <c r="J20" s="25"/>
    </row>
    <row r="21" spans="2:13" ht="15.9" customHeight="1">
      <c r="B21" s="17">
        <v>-20</v>
      </c>
      <c r="C21" s="49">
        <v>196.92472899495169</v>
      </c>
      <c r="D21" s="9">
        <f t="shared" si="8"/>
        <v>671.51332587278534</v>
      </c>
      <c r="E21" s="9">
        <f t="shared" si="9"/>
        <v>169.35526693565845</v>
      </c>
      <c r="F21" s="49">
        <v>91.12548601872453</v>
      </c>
      <c r="G21" s="13">
        <f t="shared" si="5"/>
        <v>2.1610280240863404</v>
      </c>
      <c r="H21" s="14">
        <f t="shared" si="6"/>
        <v>7.369105562134421</v>
      </c>
      <c r="I21" s="14">
        <f t="shared" si="7"/>
        <v>1.8584841007142525</v>
      </c>
      <c r="J21" s="25"/>
    </row>
    <row r="22" spans="2:13" ht="15.9" customHeight="1">
      <c r="B22" s="17">
        <v>-15</v>
      </c>
      <c r="C22" s="49">
        <v>241.84891252822004</v>
      </c>
      <c r="D22" s="9">
        <f t="shared" si="8"/>
        <v>824.70479172123032</v>
      </c>
      <c r="E22" s="9">
        <f t="shared" si="9"/>
        <v>207.99006477426923</v>
      </c>
      <c r="F22" s="49">
        <v>100.63863483771348</v>
      </c>
      <c r="G22" s="13">
        <f t="shared" si="5"/>
        <v>2.40314182439197</v>
      </c>
      <c r="H22" s="14">
        <f t="shared" si="6"/>
        <v>8.1947136211766178</v>
      </c>
      <c r="I22" s="14">
        <f t="shared" si="7"/>
        <v>2.0667019689770942</v>
      </c>
      <c r="J22" s="25"/>
    </row>
    <row r="23" spans="2:13" ht="15.9" customHeight="1">
      <c r="B23" s="17">
        <v>-10</v>
      </c>
      <c r="C23" s="49">
        <v>295.15585320651076</v>
      </c>
      <c r="D23" s="9">
        <f t="shared" si="8"/>
        <v>1006.4814594342017</v>
      </c>
      <c r="E23" s="9">
        <f t="shared" si="9"/>
        <v>253.83403375759926</v>
      </c>
      <c r="F23" s="49">
        <v>109.39926422800703</v>
      </c>
      <c r="G23" s="13">
        <f t="shared" si="5"/>
        <v>2.6979692714509924</v>
      </c>
      <c r="H23" s="14">
        <f t="shared" si="6"/>
        <v>9.2000752156478853</v>
      </c>
      <c r="I23" s="14">
        <f t="shared" si="7"/>
        <v>2.3202535734478538</v>
      </c>
      <c r="J23" s="25"/>
    </row>
    <row r="24" spans="2:13" ht="15.9" customHeight="1">
      <c r="B24" s="15"/>
    </row>
    <row r="25" spans="2:13" ht="15.9" customHeight="1">
      <c r="B25" s="68" t="s">
        <v>38</v>
      </c>
      <c r="C25" s="69"/>
      <c r="D25" s="69"/>
      <c r="E25" s="69"/>
      <c r="F25" s="69"/>
      <c r="G25" s="69"/>
      <c r="H25" s="69"/>
      <c r="I25" s="71"/>
      <c r="J25" s="23"/>
      <c r="M25" s="8" t="s">
        <v>24</v>
      </c>
    </row>
    <row r="26" spans="2:13" ht="15.9" customHeight="1">
      <c r="B26" s="68" t="s">
        <v>52</v>
      </c>
      <c r="C26" s="69"/>
      <c r="D26" s="69"/>
      <c r="E26" s="69"/>
      <c r="F26" s="70"/>
      <c r="G26" s="69"/>
      <c r="H26" s="69"/>
      <c r="I26" s="71"/>
      <c r="J26" s="23"/>
    </row>
    <row r="27" spans="2:13" ht="15.9" customHeight="1">
      <c r="B27" s="77" t="s">
        <v>14</v>
      </c>
      <c r="C27" s="65" t="s">
        <v>15</v>
      </c>
      <c r="D27" s="66"/>
      <c r="E27" s="67"/>
      <c r="F27" s="19" t="s">
        <v>16</v>
      </c>
      <c r="G27" s="65" t="s">
        <v>17</v>
      </c>
      <c r="H27" s="66"/>
      <c r="I27" s="67"/>
      <c r="J27" s="24"/>
    </row>
    <row r="28" spans="2:13" ht="15.9" customHeight="1">
      <c r="B28" s="78"/>
      <c r="C28" s="80" t="s">
        <v>43</v>
      </c>
      <c r="D28" s="81"/>
      <c r="E28" s="82"/>
      <c r="F28" s="46" t="s">
        <v>45</v>
      </c>
      <c r="G28" s="80" t="s">
        <v>44</v>
      </c>
      <c r="H28" s="81"/>
      <c r="I28" s="82"/>
      <c r="J28" s="24"/>
    </row>
    <row r="29" spans="2:13" ht="15.9" customHeight="1">
      <c r="B29" s="11" t="s">
        <v>25</v>
      </c>
      <c r="C29" s="10" t="s">
        <v>18</v>
      </c>
      <c r="D29" s="10" t="s">
        <v>19</v>
      </c>
      <c r="E29" s="11" t="s">
        <v>20</v>
      </c>
      <c r="F29" s="12" t="s">
        <v>18</v>
      </c>
      <c r="G29" s="11" t="s">
        <v>21</v>
      </c>
      <c r="H29" s="11" t="s">
        <v>22</v>
      </c>
      <c r="I29" s="11" t="s">
        <v>23</v>
      </c>
      <c r="J29" s="24"/>
    </row>
    <row r="30" spans="2:13" ht="15.9" customHeight="1">
      <c r="B30" s="17">
        <v>-35</v>
      </c>
      <c r="C30" s="49">
        <v>108.22209666949459</v>
      </c>
      <c r="D30" s="9">
        <f>C30*3.41</f>
        <v>369.03734964297655</v>
      </c>
      <c r="E30" s="9">
        <f>C30*0.86</f>
        <v>93.071003135765352</v>
      </c>
      <c r="F30" s="49">
        <v>58.611992207973564</v>
      </c>
      <c r="G30" s="13">
        <f t="shared" ref="G30:G35" si="10">C30/F30</f>
        <v>1.8464155984578883</v>
      </c>
      <c r="H30" s="14">
        <f t="shared" ref="H30:H35" si="11">D30/F30</f>
        <v>6.2962771907413986</v>
      </c>
      <c r="I30" s="14">
        <f t="shared" ref="I30:I35" si="12">E30/F30</f>
        <v>1.587917414673784</v>
      </c>
      <c r="J30" s="25"/>
    </row>
    <row r="31" spans="2:13" ht="15.9" customHeight="1">
      <c r="B31" s="17">
        <v>-30</v>
      </c>
      <c r="C31" s="49">
        <v>133.54212113370886</v>
      </c>
      <c r="D31" s="9">
        <f t="shared" ref="D31:D35" si="13">C31*3.41</f>
        <v>455.37863306594721</v>
      </c>
      <c r="E31" s="9">
        <f t="shared" ref="E31:E35" si="14">C31*0.86</f>
        <v>114.84622417498962</v>
      </c>
      <c r="F31" s="49">
        <v>67.813028320455288</v>
      </c>
      <c r="G31" s="13">
        <f t="shared" si="10"/>
        <v>1.9692693932299568</v>
      </c>
      <c r="H31" s="14">
        <f t="shared" si="11"/>
        <v>6.7152086309141525</v>
      </c>
      <c r="I31" s="14">
        <f t="shared" si="12"/>
        <v>1.6935716781777628</v>
      </c>
      <c r="J31" s="25"/>
      <c r="K31" s="27"/>
    </row>
    <row r="32" spans="2:13" ht="15.9" customHeight="1">
      <c r="B32" s="17">
        <v>-25</v>
      </c>
      <c r="C32" s="49">
        <v>164.47539892428406</v>
      </c>
      <c r="D32" s="9">
        <f t="shared" si="13"/>
        <v>560.86111033180873</v>
      </c>
      <c r="E32" s="9">
        <f t="shared" si="14"/>
        <v>141.44884307488428</v>
      </c>
      <c r="F32" s="49">
        <v>77.012997947800315</v>
      </c>
      <c r="G32" s="13">
        <f t="shared" si="10"/>
        <v>2.1356836288306305</v>
      </c>
      <c r="H32" s="14">
        <f t="shared" si="11"/>
        <v>7.28268117431245</v>
      </c>
      <c r="I32" s="14">
        <f t="shared" si="12"/>
        <v>1.8366879207943418</v>
      </c>
      <c r="J32" s="25"/>
      <c r="K32" s="27"/>
    </row>
    <row r="33" spans="2:11" ht="15.9" customHeight="1">
      <c r="B33" s="17">
        <v>-20</v>
      </c>
      <c r="C33" s="49">
        <v>201.94540665373353</v>
      </c>
      <c r="D33" s="9">
        <f t="shared" si="13"/>
        <v>688.63383668923132</v>
      </c>
      <c r="E33" s="9">
        <f t="shared" si="14"/>
        <v>173.67304972221083</v>
      </c>
      <c r="F33" s="49">
        <v>85.910330183260697</v>
      </c>
      <c r="G33" s="13">
        <f t="shared" si="10"/>
        <v>2.3506533640710163</v>
      </c>
      <c r="H33" s="14">
        <f t="shared" si="11"/>
        <v>8.0157279714821659</v>
      </c>
      <c r="I33" s="14">
        <f t="shared" si="12"/>
        <v>2.0215618931010741</v>
      </c>
      <c r="J33" s="25"/>
      <c r="K33" s="27"/>
    </row>
    <row r="34" spans="2:11" ht="15.9" customHeight="1">
      <c r="B34" s="17">
        <v>-15</v>
      </c>
      <c r="C34" s="49">
        <v>246.87562093457089</v>
      </c>
      <c r="D34" s="9">
        <f t="shared" si="13"/>
        <v>841.84586738688677</v>
      </c>
      <c r="E34" s="9">
        <f t="shared" si="14"/>
        <v>212.31303400373096</v>
      </c>
      <c r="F34" s="49">
        <v>94.203454120088495</v>
      </c>
      <c r="G34" s="13">
        <f t="shared" si="10"/>
        <v>2.6206642127990261</v>
      </c>
      <c r="H34" s="14">
        <f t="shared" si="11"/>
        <v>8.9364649656446797</v>
      </c>
      <c r="I34" s="14">
        <f t="shared" si="12"/>
        <v>2.2537712230071625</v>
      </c>
      <c r="J34" s="25"/>
    </row>
    <row r="35" spans="2:11" ht="15.9" customHeight="1">
      <c r="B35" s="17">
        <v>-10</v>
      </c>
      <c r="C35" s="49">
        <v>300.1895183793095</v>
      </c>
      <c r="D35" s="9">
        <f t="shared" si="13"/>
        <v>1023.6462576734455</v>
      </c>
      <c r="E35" s="9">
        <f t="shared" si="14"/>
        <v>258.16298580620617</v>
      </c>
      <c r="F35" s="49">
        <v>101.59079885153571</v>
      </c>
      <c r="G35" s="13">
        <f t="shared" si="10"/>
        <v>2.9548888459672904</v>
      </c>
      <c r="H35" s="14">
        <f t="shared" si="11"/>
        <v>10.076170964748462</v>
      </c>
      <c r="I35" s="14">
        <f t="shared" si="12"/>
        <v>2.54120440753187</v>
      </c>
      <c r="J35" s="25"/>
    </row>
    <row r="36" spans="2:11" ht="15.9" customHeight="1">
      <c r="B36" s="15"/>
    </row>
    <row r="37" spans="2:11" ht="15.9" customHeight="1">
      <c r="B37" s="92" t="s">
        <v>39</v>
      </c>
      <c r="C37" s="92"/>
      <c r="D37" s="92"/>
      <c r="E37" s="92"/>
      <c r="F37" s="93"/>
      <c r="G37" s="92"/>
      <c r="H37" s="92"/>
      <c r="I37" s="92"/>
      <c r="J37" s="23"/>
    </row>
    <row r="38" spans="2:11" ht="15.9" customHeight="1">
      <c r="B38" s="68" t="s">
        <v>52</v>
      </c>
      <c r="C38" s="69"/>
      <c r="D38" s="69"/>
      <c r="E38" s="69"/>
      <c r="F38" s="70"/>
      <c r="G38" s="69"/>
      <c r="H38" s="69"/>
      <c r="I38" s="71"/>
      <c r="J38" s="23"/>
    </row>
    <row r="39" spans="2:11" ht="15.9" customHeight="1">
      <c r="B39" s="77" t="s">
        <v>14</v>
      </c>
      <c r="C39" s="65" t="s">
        <v>15</v>
      </c>
      <c r="D39" s="66"/>
      <c r="E39" s="67"/>
      <c r="F39" s="19" t="s">
        <v>16</v>
      </c>
      <c r="G39" s="65" t="s">
        <v>17</v>
      </c>
      <c r="H39" s="66"/>
      <c r="I39" s="67"/>
      <c r="J39" s="24"/>
    </row>
    <row r="40" spans="2:11" ht="15.9" customHeight="1">
      <c r="B40" s="78"/>
      <c r="C40" s="80" t="s">
        <v>43</v>
      </c>
      <c r="D40" s="81"/>
      <c r="E40" s="82"/>
      <c r="F40" s="46" t="s">
        <v>45</v>
      </c>
      <c r="G40" s="80" t="s">
        <v>44</v>
      </c>
      <c r="H40" s="81"/>
      <c r="I40" s="82"/>
      <c r="J40" s="24"/>
    </row>
    <row r="41" spans="2:11" ht="15.9" customHeight="1">
      <c r="B41" s="11" t="s">
        <v>25</v>
      </c>
      <c r="C41" s="10" t="s">
        <v>18</v>
      </c>
      <c r="D41" s="10" t="s">
        <v>19</v>
      </c>
      <c r="E41" s="11" t="s">
        <v>20</v>
      </c>
      <c r="F41" s="12" t="s">
        <v>18</v>
      </c>
      <c r="G41" s="11" t="s">
        <v>21</v>
      </c>
      <c r="H41" s="11" t="s">
        <v>22</v>
      </c>
      <c r="I41" s="11" t="s">
        <v>23</v>
      </c>
      <c r="J41" s="24"/>
    </row>
    <row r="42" spans="2:11" ht="15.9" customHeight="1">
      <c r="B42" s="18">
        <v>-35</v>
      </c>
      <c r="C42" s="49">
        <v>113.22820714758288</v>
      </c>
      <c r="D42" s="9">
        <f>C42*3.41</f>
        <v>386.10818637325764</v>
      </c>
      <c r="E42" s="9">
        <f>C42*0.86</f>
        <v>97.376258146921273</v>
      </c>
      <c r="F42" s="49">
        <v>56.014917031147441</v>
      </c>
      <c r="G42" s="13">
        <f t="shared" ref="G42:G47" si="15">C42/F42</f>
        <v>2.0213938205892839</v>
      </c>
      <c r="H42" s="14">
        <f t="shared" ref="H42:H47" si="16">D42/F42</f>
        <v>6.8929529282094588</v>
      </c>
      <c r="I42" s="14">
        <f t="shared" ref="I42:I47" si="17">E42/F42</f>
        <v>1.7383986857067841</v>
      </c>
      <c r="J42" s="25"/>
    </row>
    <row r="43" spans="2:11" ht="15.9" customHeight="1">
      <c r="B43" s="18">
        <v>-30</v>
      </c>
      <c r="C43" s="49">
        <v>138.55072244251144</v>
      </c>
      <c r="D43" s="9">
        <f t="shared" ref="D43:D47" si="18">C43*3.41</f>
        <v>472.45796352896406</v>
      </c>
      <c r="E43" s="9">
        <f t="shared" ref="E43:E47" si="19">C43*0.86</f>
        <v>119.15362130055983</v>
      </c>
      <c r="F43" s="49">
        <v>64.414487088893722</v>
      </c>
      <c r="G43" s="13">
        <f t="shared" si="15"/>
        <v>2.1509248727123715</v>
      </c>
      <c r="H43" s="14">
        <f t="shared" si="16"/>
        <v>7.3346538159491885</v>
      </c>
      <c r="I43" s="14">
        <f t="shared" si="17"/>
        <v>1.8497953905326396</v>
      </c>
      <c r="J43" s="25"/>
    </row>
    <row r="44" spans="2:11" ht="15.9" customHeight="1">
      <c r="B44" s="18">
        <v>-25</v>
      </c>
      <c r="C44" s="49">
        <v>169.48741708267971</v>
      </c>
      <c r="D44" s="9">
        <f t="shared" si="18"/>
        <v>577.95209225193787</v>
      </c>
      <c r="E44" s="9">
        <f t="shared" si="19"/>
        <v>145.75917869110455</v>
      </c>
      <c r="F44" s="49">
        <v>72.659730884818146</v>
      </c>
      <c r="G44" s="13">
        <f t="shared" si="15"/>
        <v>2.3326182882696744</v>
      </c>
      <c r="H44" s="14">
        <f t="shared" si="16"/>
        <v>7.9542283629995909</v>
      </c>
      <c r="I44" s="14">
        <f t="shared" si="17"/>
        <v>2.0060517279119203</v>
      </c>
      <c r="J44" s="25"/>
    </row>
    <row r="45" spans="2:11" ht="15.9" customHeight="1">
      <c r="B45" s="18">
        <v>-20</v>
      </c>
      <c r="C45" s="49">
        <v>206.96176768060116</v>
      </c>
      <c r="D45" s="9">
        <f t="shared" si="18"/>
        <v>705.73962779085002</v>
      </c>
      <c r="E45" s="9">
        <f t="shared" si="19"/>
        <v>177.98712020531698</v>
      </c>
      <c r="F45" s="49">
        <v>80.449077512172735</v>
      </c>
      <c r="G45" s="13">
        <f t="shared" si="15"/>
        <v>2.5725809926072278</v>
      </c>
      <c r="H45" s="14">
        <f t="shared" si="16"/>
        <v>8.7725011847906487</v>
      </c>
      <c r="I45" s="14">
        <f t="shared" si="17"/>
        <v>2.212419653642216</v>
      </c>
      <c r="J45" s="25"/>
    </row>
    <row r="46" spans="2:11" ht="15.9" customHeight="1">
      <c r="B46" s="18">
        <v>-15</v>
      </c>
      <c r="C46" s="49">
        <v>251.89725084878938</v>
      </c>
      <c r="D46" s="9">
        <f t="shared" si="18"/>
        <v>858.96962539437186</v>
      </c>
      <c r="E46" s="9">
        <f t="shared" si="19"/>
        <v>216.63163572995887</v>
      </c>
      <c r="F46" s="49">
        <v>87.480956064209494</v>
      </c>
      <c r="G46" s="13">
        <f t="shared" si="15"/>
        <v>2.879452422352371</v>
      </c>
      <c r="H46" s="14">
        <f t="shared" si="16"/>
        <v>9.8189327602215872</v>
      </c>
      <c r="I46" s="14">
        <f t="shared" si="17"/>
        <v>2.4763290832230394</v>
      </c>
      <c r="J46" s="25"/>
    </row>
    <row r="47" spans="2:11" ht="15.9" customHeight="1">
      <c r="B47" s="18">
        <v>-10</v>
      </c>
      <c r="C47" s="49">
        <v>305.21734319975764</v>
      </c>
      <c r="D47" s="9">
        <f t="shared" si="18"/>
        <v>1040.7911403111736</v>
      </c>
      <c r="E47" s="9">
        <f t="shared" si="19"/>
        <v>262.48691515179155</v>
      </c>
      <c r="F47" s="49">
        <v>93.453795634180565</v>
      </c>
      <c r="G47" s="13">
        <f t="shared" si="15"/>
        <v>3.2659705379384816</v>
      </c>
      <c r="H47" s="14">
        <f t="shared" si="16"/>
        <v>11.136959534370224</v>
      </c>
      <c r="I47" s="14">
        <f t="shared" si="17"/>
        <v>2.8087346626270939</v>
      </c>
      <c r="J47" s="25"/>
    </row>
    <row r="48" spans="2:11" ht="15.9" customHeight="1">
      <c r="B48" s="34"/>
      <c r="C48" s="35"/>
      <c r="D48" s="36"/>
      <c r="E48" s="36"/>
      <c r="F48" s="37"/>
      <c r="G48" s="38"/>
      <c r="H48" s="36"/>
      <c r="I48" s="36"/>
    </row>
    <row r="49" spans="2:11" ht="15.9" customHeight="1">
      <c r="B49" s="72" t="s">
        <v>40</v>
      </c>
      <c r="C49" s="72"/>
      <c r="D49" s="72"/>
      <c r="E49" s="72"/>
      <c r="F49" s="79"/>
      <c r="G49" s="72"/>
      <c r="H49" s="72"/>
      <c r="I49" s="72"/>
      <c r="J49" s="23"/>
    </row>
    <row r="50" spans="2:11" ht="15.9" customHeight="1">
      <c r="B50" s="68" t="s">
        <v>52</v>
      </c>
      <c r="C50" s="69"/>
      <c r="D50" s="69"/>
      <c r="E50" s="69"/>
      <c r="F50" s="70"/>
      <c r="G50" s="69"/>
      <c r="H50" s="69"/>
      <c r="I50" s="71"/>
      <c r="J50" s="23"/>
    </row>
    <row r="51" spans="2:11" ht="15.9" customHeight="1">
      <c r="B51" s="77" t="s">
        <v>14</v>
      </c>
      <c r="C51" s="65" t="s">
        <v>15</v>
      </c>
      <c r="D51" s="66"/>
      <c r="E51" s="67"/>
      <c r="F51" s="19" t="s">
        <v>16</v>
      </c>
      <c r="G51" s="65" t="s">
        <v>17</v>
      </c>
      <c r="H51" s="66"/>
      <c r="I51" s="67"/>
      <c r="J51" s="24"/>
    </row>
    <row r="52" spans="2:11" ht="15.9" customHeight="1">
      <c r="B52" s="78"/>
      <c r="C52" s="80" t="s">
        <v>43</v>
      </c>
      <c r="D52" s="81"/>
      <c r="E52" s="82"/>
      <c r="F52" s="46" t="s">
        <v>45</v>
      </c>
      <c r="G52" s="80" t="s">
        <v>44</v>
      </c>
      <c r="H52" s="81"/>
      <c r="I52" s="82"/>
      <c r="J52" s="24"/>
    </row>
    <row r="53" spans="2:11" ht="15.9" customHeight="1">
      <c r="B53" s="11" t="s">
        <v>25</v>
      </c>
      <c r="C53" s="10" t="s">
        <v>18</v>
      </c>
      <c r="D53" s="10" t="s">
        <v>19</v>
      </c>
      <c r="E53" s="11" t="s">
        <v>20</v>
      </c>
      <c r="F53" s="12" t="s">
        <v>18</v>
      </c>
      <c r="G53" s="11" t="s">
        <v>21</v>
      </c>
      <c r="H53" s="11" t="s">
        <v>22</v>
      </c>
      <c r="I53" s="11" t="s">
        <v>23</v>
      </c>
      <c r="J53" s="24"/>
    </row>
    <row r="54" spans="2:11" ht="15.9" customHeight="1">
      <c r="B54" s="17">
        <v>-35</v>
      </c>
      <c r="C54" s="49">
        <v>118.23228657441166</v>
      </c>
      <c r="D54" s="9">
        <f>C54*3.41</f>
        <v>403.17209721874377</v>
      </c>
      <c r="E54" s="9">
        <f>C54*0.86</f>
        <v>101.67976645399402</v>
      </c>
      <c r="F54" s="49">
        <v>53.288893500674192</v>
      </c>
      <c r="G54" s="13">
        <f t="shared" ref="G54:G59" si="20">C54/F54</f>
        <v>2.2187041015012974</v>
      </c>
      <c r="H54" s="14">
        <f t="shared" ref="H54:H59" si="21">D54/F54</f>
        <v>7.5657809861194245</v>
      </c>
      <c r="I54" s="14">
        <f t="shared" ref="I54:I59" si="22">E54/F54</f>
        <v>1.9080855272911157</v>
      </c>
      <c r="J54" s="25"/>
    </row>
    <row r="55" spans="2:11" ht="15.9" customHeight="1">
      <c r="B55" s="17">
        <v>-30</v>
      </c>
      <c r="C55" s="49">
        <v>143.55653083983623</v>
      </c>
      <c r="D55" s="9">
        <f t="shared" ref="D55:D59" si="23">C55*3.41</f>
        <v>489.52777016384158</v>
      </c>
      <c r="E55" s="9">
        <f t="shared" ref="E55:E59" si="24">C55*0.86</f>
        <v>123.45861652225915</v>
      </c>
      <c r="F55" s="49">
        <v>60.845777001055183</v>
      </c>
      <c r="G55" s="13">
        <f t="shared" si="20"/>
        <v>2.3593507703475738</v>
      </c>
      <c r="H55" s="14">
        <f t="shared" si="21"/>
        <v>8.0453861268852265</v>
      </c>
      <c r="I55" s="14">
        <f t="shared" si="22"/>
        <v>2.0290416624989134</v>
      </c>
      <c r="J55" s="25"/>
      <c r="K55" s="27"/>
    </row>
    <row r="56" spans="2:11" ht="15.9" customHeight="1">
      <c r="B56" s="17">
        <v>-25</v>
      </c>
      <c r="C56" s="49">
        <v>174.49588046937936</v>
      </c>
      <c r="D56" s="9">
        <f t="shared" si="23"/>
        <v>595.0309524005836</v>
      </c>
      <c r="E56" s="9">
        <f t="shared" si="24"/>
        <v>150.06645720366623</v>
      </c>
      <c r="F56" s="49">
        <v>68.095074462929205</v>
      </c>
      <c r="G56" s="13">
        <f t="shared" si="20"/>
        <v>2.5625330737302372</v>
      </c>
      <c r="H56" s="14">
        <f t="shared" si="21"/>
        <v>8.7382377814201089</v>
      </c>
      <c r="I56" s="14">
        <f t="shared" si="22"/>
        <v>2.2037784434080039</v>
      </c>
      <c r="J56" s="25"/>
    </row>
    <row r="57" spans="2:11" ht="15.9" customHeight="1">
      <c r="B57" s="17">
        <v>-20</v>
      </c>
      <c r="C57" s="49">
        <v>211.97381207555452</v>
      </c>
      <c r="D57" s="9">
        <f t="shared" si="23"/>
        <v>722.83069917764089</v>
      </c>
      <c r="E57" s="9">
        <f t="shared" si="24"/>
        <v>182.2974783849769</v>
      </c>
      <c r="F57" s="49">
        <v>74.735214979548118</v>
      </c>
      <c r="G57" s="13">
        <f t="shared" si="20"/>
        <v>2.8363310674032696</v>
      </c>
      <c r="H57" s="14">
        <f t="shared" si="21"/>
        <v>9.6718889398451484</v>
      </c>
      <c r="I57" s="14">
        <f t="shared" si="22"/>
        <v>2.4392447179668117</v>
      </c>
      <c r="J57" s="25"/>
    </row>
    <row r="58" spans="2:11" ht="15.9" customHeight="1">
      <c r="B58" s="17">
        <v>-15</v>
      </c>
      <c r="C58" s="49">
        <v>256.91380227087524</v>
      </c>
      <c r="D58" s="9">
        <f t="shared" si="23"/>
        <v>876.07606574368458</v>
      </c>
      <c r="E58" s="9">
        <f t="shared" si="24"/>
        <v>220.94586995295271</v>
      </c>
      <c r="F58" s="49">
        <v>80.464627644164096</v>
      </c>
      <c r="G58" s="13">
        <f t="shared" si="20"/>
        <v>3.1928787815562405</v>
      </c>
      <c r="H58" s="14">
        <f t="shared" si="21"/>
        <v>10.88771664510678</v>
      </c>
      <c r="I58" s="14">
        <f t="shared" si="22"/>
        <v>2.7458757521383665</v>
      </c>
      <c r="J58" s="25"/>
    </row>
    <row r="59" spans="2:11" ht="15.9" customHeight="1">
      <c r="B59" s="17">
        <v>-10</v>
      </c>
      <c r="C59" s="49">
        <v>310.23932766785492</v>
      </c>
      <c r="D59" s="9">
        <f t="shared" si="23"/>
        <v>1057.9161073473854</v>
      </c>
      <c r="E59" s="9">
        <f t="shared" si="24"/>
        <v>266.80582179435521</v>
      </c>
      <c r="F59" s="49">
        <v>84.981741550029142</v>
      </c>
      <c r="G59" s="13">
        <f t="shared" si="20"/>
        <v>3.6506586239494232</v>
      </c>
      <c r="H59" s="14">
        <f t="shared" si="21"/>
        <v>12.448745907667535</v>
      </c>
      <c r="I59" s="14">
        <f t="shared" si="22"/>
        <v>3.1395664165965038</v>
      </c>
      <c r="J59" s="25"/>
    </row>
    <row r="60" spans="2:11" ht="27" customHeight="1"/>
    <row r="61" spans="2:11" ht="12" customHeight="1">
      <c r="B61" s="76"/>
      <c r="C61" s="76"/>
      <c r="D61" s="76"/>
      <c r="E61" s="76"/>
      <c r="F61" s="94"/>
      <c r="G61" s="76"/>
      <c r="H61" s="76"/>
      <c r="I61" s="76"/>
    </row>
    <row r="62" spans="2:11" ht="18" customHeight="1">
      <c r="B62" s="72" t="s">
        <v>47</v>
      </c>
      <c r="C62" s="72"/>
      <c r="D62" s="72"/>
      <c r="E62" s="72"/>
      <c r="F62" s="79"/>
      <c r="G62" s="72"/>
      <c r="H62" s="72"/>
      <c r="I62" s="72"/>
    </row>
    <row r="63" spans="2:11" ht="18" customHeight="1">
      <c r="B63" s="68" t="s">
        <v>46</v>
      </c>
      <c r="C63" s="69"/>
      <c r="D63" s="69"/>
      <c r="E63" s="69"/>
      <c r="F63" s="70"/>
      <c r="G63" s="69"/>
      <c r="H63" s="69"/>
      <c r="I63" s="71"/>
    </row>
    <row r="64" spans="2:11" ht="18" customHeight="1">
      <c r="B64" s="77" t="s">
        <v>48</v>
      </c>
      <c r="C64" s="65" t="s">
        <v>15</v>
      </c>
      <c r="D64" s="66"/>
      <c r="E64" s="67"/>
      <c r="F64" s="19" t="s">
        <v>16</v>
      </c>
      <c r="G64" s="65" t="s">
        <v>17</v>
      </c>
      <c r="H64" s="66"/>
      <c r="I64" s="67"/>
    </row>
    <row r="65" spans="2:9" ht="18" customHeight="1">
      <c r="B65" s="78"/>
      <c r="C65" s="80" t="s">
        <v>43</v>
      </c>
      <c r="D65" s="81"/>
      <c r="E65" s="82"/>
      <c r="F65" s="46" t="s">
        <v>45</v>
      </c>
      <c r="G65" s="80" t="s">
        <v>44</v>
      </c>
      <c r="H65" s="81"/>
      <c r="I65" s="82"/>
    </row>
    <row r="66" spans="2:9" ht="18" customHeight="1">
      <c r="B66" s="47" t="s">
        <v>25</v>
      </c>
      <c r="C66" s="10" t="s">
        <v>18</v>
      </c>
      <c r="D66" s="10" t="s">
        <v>19</v>
      </c>
      <c r="E66" s="47" t="s">
        <v>20</v>
      </c>
      <c r="F66" s="12" t="s">
        <v>18</v>
      </c>
      <c r="G66" s="47" t="s">
        <v>21</v>
      </c>
      <c r="H66" s="47" t="s">
        <v>22</v>
      </c>
      <c r="I66" s="47" t="s">
        <v>23</v>
      </c>
    </row>
    <row r="67" spans="2:9" ht="18" customHeight="1">
      <c r="B67" s="51" t="s">
        <v>49</v>
      </c>
      <c r="C67" s="48">
        <v>167</v>
      </c>
      <c r="D67" s="9">
        <f>C67*3.412</f>
        <v>569.80399999999997</v>
      </c>
      <c r="E67" s="9">
        <f>C67*0.86</f>
        <v>143.62</v>
      </c>
      <c r="F67" s="49">
        <f>C67/G67</f>
        <v>89.304812834224592</v>
      </c>
      <c r="G67" s="13">
        <v>1.87</v>
      </c>
      <c r="H67" s="14">
        <f>G67*3.412</f>
        <v>6.3804400000000001</v>
      </c>
      <c r="I67" s="14">
        <f>G67*0.86</f>
        <v>1.6082000000000001</v>
      </c>
    </row>
  </sheetData>
  <mergeCells count="43">
    <mergeCell ref="C16:E16"/>
    <mergeCell ref="G16:I16"/>
    <mergeCell ref="B27:B28"/>
    <mergeCell ref="C28:E28"/>
    <mergeCell ref="G28:I28"/>
    <mergeCell ref="B61:I61"/>
    <mergeCell ref="B49:I49"/>
    <mergeCell ref="C27:E27"/>
    <mergeCell ref="B50:I50"/>
    <mergeCell ref="C51:E51"/>
    <mergeCell ref="G51:I51"/>
    <mergeCell ref="G39:I39"/>
    <mergeCell ref="B38:I38"/>
    <mergeCell ref="G27:I27"/>
    <mergeCell ref="B39:B40"/>
    <mergeCell ref="C40:E40"/>
    <mergeCell ref="G40:I40"/>
    <mergeCell ref="B51:B52"/>
    <mergeCell ref="C52:E52"/>
    <mergeCell ref="G52:I52"/>
    <mergeCell ref="B1:I1"/>
    <mergeCell ref="C3:E3"/>
    <mergeCell ref="B13:I13"/>
    <mergeCell ref="C15:E15"/>
    <mergeCell ref="C39:E39"/>
    <mergeCell ref="B26:I26"/>
    <mergeCell ref="B14:I14"/>
    <mergeCell ref="G3:I3"/>
    <mergeCell ref="B2:I2"/>
    <mergeCell ref="B37:I37"/>
    <mergeCell ref="B25:I25"/>
    <mergeCell ref="G15:I15"/>
    <mergeCell ref="B3:B4"/>
    <mergeCell ref="C4:E4"/>
    <mergeCell ref="G4:I4"/>
    <mergeCell ref="B15:B16"/>
    <mergeCell ref="B62:I62"/>
    <mergeCell ref="B63:I63"/>
    <mergeCell ref="B64:B65"/>
    <mergeCell ref="C64:E64"/>
    <mergeCell ref="G64:I64"/>
    <mergeCell ref="C65:E65"/>
    <mergeCell ref="G65:I65"/>
  </mergeCells>
  <phoneticPr fontId="11" type="noConversion"/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B1:M67"/>
  <sheetViews>
    <sheetView showGridLines="0" zoomScale="85" zoomScaleNormal="85" workbookViewId="0">
      <selection activeCell="D41" sqref="D41"/>
    </sheetView>
  </sheetViews>
  <sheetFormatPr defaultColWidth="9" defaultRowHeight="18" customHeight="1"/>
  <cols>
    <col min="1" max="1" width="1.109375" style="8" customWidth="1"/>
    <col min="2" max="2" width="12.21875" style="8" customWidth="1"/>
    <col min="3" max="3" width="8" style="8" customWidth="1"/>
    <col min="4" max="5" width="8.6640625" style="8" customWidth="1"/>
    <col min="6" max="6" width="10.88671875" style="8" customWidth="1"/>
    <col min="7" max="9" width="9.6640625" style="8" customWidth="1"/>
    <col min="10" max="10" width="1.33203125" style="8" customWidth="1"/>
    <col min="11" max="19" width="9" style="8"/>
    <col min="20" max="20" width="6.88671875" style="8" customWidth="1"/>
    <col min="21" max="16384" width="9" style="8"/>
  </cols>
  <sheetData>
    <row r="1" spans="2:12" ht="15.9" customHeight="1">
      <c r="B1" s="68" t="s">
        <v>55</v>
      </c>
      <c r="C1" s="69"/>
      <c r="D1" s="69"/>
      <c r="E1" s="69"/>
      <c r="F1" s="69"/>
      <c r="G1" s="69"/>
      <c r="H1" s="69"/>
      <c r="I1" s="71"/>
      <c r="J1" s="23"/>
    </row>
    <row r="2" spans="2:12" ht="15.9" customHeight="1">
      <c r="B2" s="68" t="s">
        <v>52</v>
      </c>
      <c r="C2" s="69"/>
      <c r="D2" s="69"/>
      <c r="E2" s="69"/>
      <c r="F2" s="70"/>
      <c r="G2" s="69"/>
      <c r="H2" s="69"/>
      <c r="I2" s="71"/>
      <c r="J2" s="23"/>
    </row>
    <row r="3" spans="2:12" ht="15.9" customHeight="1">
      <c r="B3" s="77" t="s">
        <v>14</v>
      </c>
      <c r="C3" s="65" t="s">
        <v>15</v>
      </c>
      <c r="D3" s="66"/>
      <c r="E3" s="67"/>
      <c r="F3" s="19" t="s">
        <v>16</v>
      </c>
      <c r="G3" s="65" t="s">
        <v>17</v>
      </c>
      <c r="H3" s="66"/>
      <c r="I3" s="67"/>
      <c r="J3" s="24"/>
    </row>
    <row r="4" spans="2:12" ht="15.9" customHeight="1">
      <c r="B4" s="78"/>
      <c r="C4" s="80" t="s">
        <v>43</v>
      </c>
      <c r="D4" s="81"/>
      <c r="E4" s="82"/>
      <c r="F4" s="46" t="s">
        <v>45</v>
      </c>
      <c r="G4" s="80" t="s">
        <v>44</v>
      </c>
      <c r="H4" s="81"/>
      <c r="I4" s="82"/>
      <c r="J4" s="24"/>
    </row>
    <row r="5" spans="2:12" ht="15.9" customHeight="1">
      <c r="B5" s="21" t="s">
        <v>25</v>
      </c>
      <c r="C5" s="19" t="s">
        <v>18</v>
      </c>
      <c r="D5" s="19" t="s">
        <v>19</v>
      </c>
      <c r="E5" s="21" t="s">
        <v>20</v>
      </c>
      <c r="F5" s="19" t="s">
        <v>18</v>
      </c>
      <c r="G5" s="21" t="s">
        <v>21</v>
      </c>
      <c r="H5" s="21" t="s">
        <v>22</v>
      </c>
      <c r="I5" s="21" t="s">
        <v>23</v>
      </c>
      <c r="J5" s="24"/>
    </row>
    <row r="6" spans="2:12" ht="15.9" customHeight="1">
      <c r="B6" s="21">
        <v>-35</v>
      </c>
      <c r="C6" s="49">
        <v>52.05590807065272</v>
      </c>
      <c r="D6" s="9">
        <f>C6*3.41</f>
        <v>177.51064652092577</v>
      </c>
      <c r="E6" s="9">
        <f>C6*0.86</f>
        <v>44.768080940761337</v>
      </c>
      <c r="F6" s="49">
        <v>33.812192304106354</v>
      </c>
      <c r="G6" s="13">
        <f t="shared" ref="G6:G11" si="0">C6/F6</f>
        <v>1.5395602746625436</v>
      </c>
      <c r="H6" s="14">
        <f t="shared" ref="H6:H11" si="1">D6/F6</f>
        <v>5.2499005365992737</v>
      </c>
      <c r="I6" s="14">
        <f t="shared" ref="I6:I11" si="2">E6/F6</f>
        <v>1.3240218362097873</v>
      </c>
      <c r="J6" s="25"/>
      <c r="L6" s="26"/>
    </row>
    <row r="7" spans="2:12" ht="15.9" customHeight="1">
      <c r="B7" s="21">
        <v>-30</v>
      </c>
      <c r="C7" s="49">
        <v>65.54594036268665</v>
      </c>
      <c r="D7" s="9">
        <f t="shared" ref="D7:D11" si="3">C7*3.41</f>
        <v>223.5116566367615</v>
      </c>
      <c r="E7" s="9">
        <f t="shared" ref="E7:E11" si="4">C7*0.86</f>
        <v>56.36950871191052</v>
      </c>
      <c r="F7" s="49">
        <v>39.504092289445367</v>
      </c>
      <c r="G7" s="13">
        <f t="shared" si="0"/>
        <v>1.6592189964126602</v>
      </c>
      <c r="H7" s="14">
        <f t="shared" si="1"/>
        <v>5.6579367777671719</v>
      </c>
      <c r="I7" s="14">
        <f t="shared" si="2"/>
        <v>1.4269283369148877</v>
      </c>
      <c r="J7" s="25"/>
      <c r="L7" s="26"/>
    </row>
    <row r="8" spans="2:12" ht="15.9" customHeight="1">
      <c r="B8" s="21">
        <v>-25</v>
      </c>
      <c r="C8" s="49">
        <v>82.026479928287557</v>
      </c>
      <c r="D8" s="9">
        <f t="shared" si="3"/>
        <v>279.71029655546056</v>
      </c>
      <c r="E8" s="9">
        <f t="shared" si="4"/>
        <v>70.542772738327301</v>
      </c>
      <c r="F8" s="49">
        <v>45.358778640489753</v>
      </c>
      <c r="G8" s="13">
        <f t="shared" si="0"/>
        <v>1.8083926063887925</v>
      </c>
      <c r="H8" s="14">
        <f t="shared" si="1"/>
        <v>6.1666187877857821</v>
      </c>
      <c r="I8" s="14">
        <f t="shared" si="2"/>
        <v>1.5552176414943617</v>
      </c>
      <c r="J8" s="25"/>
      <c r="L8" s="26"/>
    </row>
    <row r="9" spans="2:12" ht="15.9" customHeight="1">
      <c r="B9" s="21">
        <v>-20</v>
      </c>
      <c r="C9" s="49">
        <v>101.98967897412422</v>
      </c>
      <c r="D9" s="9">
        <f t="shared" si="3"/>
        <v>347.78480530176358</v>
      </c>
      <c r="E9" s="9">
        <f t="shared" si="4"/>
        <v>87.711123917746832</v>
      </c>
      <c r="F9" s="49">
        <v>51.215533927894789</v>
      </c>
      <c r="G9" s="13">
        <f t="shared" si="0"/>
        <v>1.9913817381600125</v>
      </c>
      <c r="H9" s="14">
        <f t="shared" si="1"/>
        <v>6.7906117271256425</v>
      </c>
      <c r="I9" s="14">
        <f t="shared" si="2"/>
        <v>1.7125882948176108</v>
      </c>
      <c r="J9" s="25"/>
      <c r="K9" s="27"/>
    </row>
    <row r="10" spans="2:12" ht="15.9" customHeight="1">
      <c r="B10" s="21">
        <v>-15</v>
      </c>
      <c r="C10" s="49">
        <v>125.92768970686566</v>
      </c>
      <c r="D10" s="9">
        <f t="shared" si="3"/>
        <v>429.41342190041195</v>
      </c>
      <c r="E10" s="9">
        <f t="shared" si="4"/>
        <v>108.29781314790446</v>
      </c>
      <c r="F10" s="49">
        <v>56.913640722315776</v>
      </c>
      <c r="G10" s="13">
        <f t="shared" si="0"/>
        <v>2.212609984331745</v>
      </c>
      <c r="H10" s="14">
        <f t="shared" si="1"/>
        <v>7.5450000465712508</v>
      </c>
      <c r="I10" s="14">
        <f t="shared" si="2"/>
        <v>1.9028445865253005</v>
      </c>
      <c r="J10" s="25"/>
      <c r="K10" s="27"/>
    </row>
    <row r="11" spans="2:12" ht="15.9" customHeight="1">
      <c r="B11" s="21">
        <v>-10</v>
      </c>
      <c r="C11" s="49">
        <v>154.33266433318059</v>
      </c>
      <c r="D11" s="9">
        <f t="shared" si="3"/>
        <v>526.2743853761458</v>
      </c>
      <c r="E11" s="9">
        <f t="shared" si="4"/>
        <v>132.72609132653531</v>
      </c>
      <c r="F11" s="49">
        <v>62.292381594407956</v>
      </c>
      <c r="G11" s="13">
        <f t="shared" si="0"/>
        <v>2.4775527983190031</v>
      </c>
      <c r="H11" s="14">
        <f t="shared" si="1"/>
        <v>8.4484550422678009</v>
      </c>
      <c r="I11" s="14">
        <f t="shared" si="2"/>
        <v>2.1306954065543424</v>
      </c>
      <c r="J11" s="25"/>
      <c r="K11" s="27"/>
    </row>
    <row r="12" spans="2:12" ht="15.9" customHeight="1">
      <c r="B12" s="45"/>
    </row>
    <row r="13" spans="2:12" ht="15.9" customHeight="1">
      <c r="B13" s="68" t="s">
        <v>56</v>
      </c>
      <c r="C13" s="69"/>
      <c r="D13" s="69"/>
      <c r="E13" s="69"/>
      <c r="F13" s="69"/>
      <c r="G13" s="69"/>
      <c r="H13" s="69"/>
      <c r="I13" s="71"/>
      <c r="J13" s="23"/>
    </row>
    <row r="14" spans="2:12" ht="15.9" customHeight="1">
      <c r="B14" s="68" t="s">
        <v>52</v>
      </c>
      <c r="C14" s="69"/>
      <c r="D14" s="69"/>
      <c r="E14" s="69"/>
      <c r="F14" s="70"/>
      <c r="G14" s="69"/>
      <c r="H14" s="69"/>
      <c r="I14" s="71"/>
      <c r="J14" s="23"/>
    </row>
    <row r="15" spans="2:12" ht="15.9" customHeight="1">
      <c r="B15" s="77" t="s">
        <v>14</v>
      </c>
      <c r="C15" s="65" t="s">
        <v>15</v>
      </c>
      <c r="D15" s="66"/>
      <c r="E15" s="67"/>
      <c r="F15" s="19" t="s">
        <v>16</v>
      </c>
      <c r="G15" s="65" t="s">
        <v>17</v>
      </c>
      <c r="H15" s="66"/>
      <c r="I15" s="67"/>
      <c r="J15" s="24"/>
    </row>
    <row r="16" spans="2:12" ht="15.9" customHeight="1">
      <c r="B16" s="78"/>
      <c r="C16" s="80" t="s">
        <v>43</v>
      </c>
      <c r="D16" s="81"/>
      <c r="E16" s="82"/>
      <c r="F16" s="46" t="s">
        <v>45</v>
      </c>
      <c r="G16" s="80" t="s">
        <v>44</v>
      </c>
      <c r="H16" s="81"/>
      <c r="I16" s="82"/>
      <c r="J16" s="24"/>
    </row>
    <row r="17" spans="2:13" ht="15.9" customHeight="1">
      <c r="B17" s="21" t="s">
        <v>25</v>
      </c>
      <c r="C17" s="19" t="s">
        <v>18</v>
      </c>
      <c r="D17" s="19" t="s">
        <v>19</v>
      </c>
      <c r="E17" s="21" t="s">
        <v>20</v>
      </c>
      <c r="F17" s="19" t="s">
        <v>18</v>
      </c>
      <c r="G17" s="21" t="s">
        <v>21</v>
      </c>
      <c r="H17" s="21" t="s">
        <v>22</v>
      </c>
      <c r="I17" s="21" t="s">
        <v>23</v>
      </c>
      <c r="J17" s="24"/>
    </row>
    <row r="18" spans="2:13" ht="15.9" customHeight="1">
      <c r="B18" s="18">
        <v>-35</v>
      </c>
      <c r="C18" s="49">
        <v>57.061329386066213</v>
      </c>
      <c r="D18" s="9">
        <f>C18*3.41</f>
        <v>194.57913320648581</v>
      </c>
      <c r="E18" s="9">
        <f>C18*0.86</f>
        <v>49.072743272016943</v>
      </c>
      <c r="F18" s="49">
        <v>32.555151216040649</v>
      </c>
      <c r="G18" s="13">
        <f t="shared" ref="G18:G23" si="5">C18/F18</f>
        <v>1.7527588493568669</v>
      </c>
      <c r="H18" s="14">
        <f t="shared" ref="H18:H23" si="6">D18/F18</f>
        <v>5.9769076763069169</v>
      </c>
      <c r="I18" s="14">
        <f t="shared" ref="I18:I23" si="7">E18/F18</f>
        <v>1.5073726104469054</v>
      </c>
      <c r="J18" s="25"/>
    </row>
    <row r="19" spans="2:13" ht="15.9" customHeight="1">
      <c r="B19" s="18">
        <v>-30</v>
      </c>
      <c r="C19" s="49">
        <v>70.553501169431968</v>
      </c>
      <c r="D19" s="9">
        <f t="shared" ref="D19:D23" si="8">C19*3.41</f>
        <v>240.58743898776302</v>
      </c>
      <c r="E19" s="9">
        <f t="shared" ref="E19:E23" si="9">C19*0.86</f>
        <v>60.676011005711494</v>
      </c>
      <c r="F19" s="49">
        <v>37.863858210940485</v>
      </c>
      <c r="G19" s="13">
        <f t="shared" si="5"/>
        <v>1.8633468564237876</v>
      </c>
      <c r="H19" s="14">
        <f t="shared" si="6"/>
        <v>6.3540127804051156</v>
      </c>
      <c r="I19" s="14">
        <f t="shared" si="7"/>
        <v>1.6024782965244573</v>
      </c>
      <c r="J19" s="25"/>
    </row>
    <row r="20" spans="2:13" ht="15.9" customHeight="1">
      <c r="B20" s="18">
        <v>-25</v>
      </c>
      <c r="C20" s="49">
        <v>87.036673733431883</v>
      </c>
      <c r="D20" s="9">
        <f t="shared" si="8"/>
        <v>296.79505743100276</v>
      </c>
      <c r="E20" s="9">
        <f t="shared" si="9"/>
        <v>74.851539410751414</v>
      </c>
      <c r="F20" s="49">
        <v>43.253674205527837</v>
      </c>
      <c r="G20" s="13">
        <f t="shared" si="5"/>
        <v>2.0122376961518</v>
      </c>
      <c r="H20" s="14">
        <f t="shared" si="6"/>
        <v>6.8617305438776395</v>
      </c>
      <c r="I20" s="14">
        <f t="shared" si="7"/>
        <v>1.7305244186905482</v>
      </c>
      <c r="J20" s="25"/>
    </row>
    <row r="21" spans="2:13" ht="15.9" customHeight="1">
      <c r="B21" s="18">
        <v>-20</v>
      </c>
      <c r="C21" s="49">
        <v>107.00299928473473</v>
      </c>
      <c r="D21" s="9">
        <f t="shared" si="8"/>
        <v>364.88022756094546</v>
      </c>
      <c r="E21" s="9">
        <f t="shared" si="9"/>
        <v>92.022579384871861</v>
      </c>
      <c r="F21" s="49">
        <v>48.563881770457989</v>
      </c>
      <c r="G21" s="13">
        <f t="shared" si="5"/>
        <v>2.2033452719141158</v>
      </c>
      <c r="H21" s="14">
        <f t="shared" si="6"/>
        <v>7.5134073772271357</v>
      </c>
      <c r="I21" s="14">
        <f t="shared" si="7"/>
        <v>1.8948769338461395</v>
      </c>
      <c r="J21" s="25"/>
    </row>
    <row r="22" spans="2:13" ht="15.9" customHeight="1">
      <c r="B22" s="18">
        <v>-15</v>
      </c>
      <c r="C22" s="49">
        <v>130.94463003000948</v>
      </c>
      <c r="D22" s="9">
        <f t="shared" si="8"/>
        <v>446.52118840233231</v>
      </c>
      <c r="E22" s="9">
        <f t="shared" si="9"/>
        <v>112.61238182580814</v>
      </c>
      <c r="F22" s="49">
        <v>53.633763476386228</v>
      </c>
      <c r="G22" s="13">
        <f t="shared" si="5"/>
        <v>2.4414589158499296</v>
      </c>
      <c r="H22" s="14">
        <f t="shared" si="6"/>
        <v>8.3253749030482602</v>
      </c>
      <c r="I22" s="14">
        <f t="shared" si="7"/>
        <v>2.0996546676309396</v>
      </c>
      <c r="J22" s="25"/>
    </row>
    <row r="23" spans="2:13" ht="15.9" customHeight="1">
      <c r="B23" s="18">
        <v>-10</v>
      </c>
      <c r="C23" s="49">
        <v>159.35371817592491</v>
      </c>
      <c r="D23" s="9">
        <f t="shared" si="8"/>
        <v>543.39617897990399</v>
      </c>
      <c r="E23" s="9">
        <f t="shared" si="9"/>
        <v>137.04419763129542</v>
      </c>
      <c r="F23" s="49">
        <v>58.302601893967818</v>
      </c>
      <c r="G23" s="13">
        <f t="shared" si="5"/>
        <v>2.733217952532101</v>
      </c>
      <c r="H23" s="14">
        <f t="shared" si="6"/>
        <v>9.3202732181344654</v>
      </c>
      <c r="I23" s="14">
        <f t="shared" si="7"/>
        <v>2.3505674391776066</v>
      </c>
      <c r="J23" s="25"/>
    </row>
    <row r="24" spans="2:13" ht="15.9" customHeight="1">
      <c r="B24" s="15"/>
    </row>
    <row r="25" spans="2:13" ht="15.9" customHeight="1">
      <c r="B25" s="72" t="s">
        <v>57</v>
      </c>
      <c r="C25" s="72"/>
      <c r="D25" s="72"/>
      <c r="E25" s="72"/>
      <c r="F25" s="72"/>
      <c r="G25" s="72"/>
      <c r="H25" s="72"/>
      <c r="I25" s="72"/>
      <c r="J25" s="23"/>
      <c r="M25" s="8" t="s">
        <v>24</v>
      </c>
    </row>
    <row r="26" spans="2:13" ht="15.9" customHeight="1">
      <c r="B26" s="68" t="s">
        <v>52</v>
      </c>
      <c r="C26" s="69"/>
      <c r="D26" s="69"/>
      <c r="E26" s="69"/>
      <c r="F26" s="70"/>
      <c r="G26" s="69"/>
      <c r="H26" s="69"/>
      <c r="I26" s="71"/>
      <c r="J26" s="23"/>
    </row>
    <row r="27" spans="2:13" ht="15.9" customHeight="1">
      <c r="B27" s="77" t="s">
        <v>14</v>
      </c>
      <c r="C27" s="65" t="s">
        <v>15</v>
      </c>
      <c r="D27" s="66"/>
      <c r="E27" s="67"/>
      <c r="F27" s="19" t="s">
        <v>16</v>
      </c>
      <c r="G27" s="65" t="s">
        <v>17</v>
      </c>
      <c r="H27" s="66"/>
      <c r="I27" s="67"/>
      <c r="J27" s="24"/>
    </row>
    <row r="28" spans="2:13" ht="15.9" customHeight="1">
      <c r="B28" s="78"/>
      <c r="C28" s="80" t="s">
        <v>43</v>
      </c>
      <c r="D28" s="81"/>
      <c r="E28" s="82"/>
      <c r="F28" s="46" t="s">
        <v>45</v>
      </c>
      <c r="G28" s="80" t="s">
        <v>44</v>
      </c>
      <c r="H28" s="81"/>
      <c r="I28" s="82"/>
      <c r="J28" s="24"/>
    </row>
    <row r="29" spans="2:13" ht="15.9" customHeight="1">
      <c r="B29" s="21" t="s">
        <v>25</v>
      </c>
      <c r="C29" s="19" t="s">
        <v>18</v>
      </c>
      <c r="D29" s="19" t="s">
        <v>19</v>
      </c>
      <c r="E29" s="21" t="s">
        <v>20</v>
      </c>
      <c r="F29" s="19" t="s">
        <v>18</v>
      </c>
      <c r="G29" s="21" t="s">
        <v>21</v>
      </c>
      <c r="H29" s="21" t="s">
        <v>22</v>
      </c>
      <c r="I29" s="21" t="s">
        <v>23</v>
      </c>
      <c r="J29" s="24"/>
    </row>
    <row r="30" spans="2:13" ht="15.9" customHeight="1">
      <c r="B30" s="22">
        <v>-35</v>
      </c>
      <c r="C30" s="49">
        <v>62.06566828494023</v>
      </c>
      <c r="D30" s="9">
        <f>C30*3.41</f>
        <v>211.64392885164619</v>
      </c>
      <c r="E30" s="9">
        <f>C30*0.86</f>
        <v>53.376474725048595</v>
      </c>
      <c r="F30" s="49">
        <v>31.236331176704478</v>
      </c>
      <c r="G30" s="13">
        <f t="shared" ref="G30:G35" si="10">C30/F30</f>
        <v>1.9869704906710601</v>
      </c>
      <c r="H30" s="14">
        <f t="shared" ref="H30:H35" si="11">D30/F30</f>
        <v>6.7755693731883149</v>
      </c>
      <c r="I30" s="14">
        <f t="shared" ref="I30:I35" si="12">E30/F30</f>
        <v>1.7087946219771115</v>
      </c>
      <c r="J30" s="25"/>
    </row>
    <row r="31" spans="2:13" ht="15.9" customHeight="1">
      <c r="B31" s="22">
        <v>-30</v>
      </c>
      <c r="C31" s="49">
        <v>75.559573538323889</v>
      </c>
      <c r="D31" s="9">
        <f t="shared" ref="D31:D35" si="13">C31*3.41</f>
        <v>257.65814576568448</v>
      </c>
      <c r="E31" s="9">
        <f t="shared" ref="E31:E35" si="14">C31*0.86</f>
        <v>64.981233242958538</v>
      </c>
      <c r="F31" s="49">
        <v>36.139877368386351</v>
      </c>
      <c r="G31" s="13">
        <f t="shared" si="10"/>
        <v>2.0907534568565036</v>
      </c>
      <c r="H31" s="14">
        <f t="shared" si="11"/>
        <v>7.1294692878806787</v>
      </c>
      <c r="I31" s="14">
        <f t="shared" si="12"/>
        <v>1.798047972896593</v>
      </c>
      <c r="J31" s="25"/>
      <c r="K31" s="27"/>
    </row>
    <row r="32" spans="2:13" ht="15.9" customHeight="1">
      <c r="B32" s="22">
        <v>-25</v>
      </c>
      <c r="C32" s="49">
        <v>92.044973079408862</v>
      </c>
      <c r="D32" s="9">
        <f t="shared" si="13"/>
        <v>313.87335820078425</v>
      </c>
      <c r="E32" s="9">
        <f t="shared" si="14"/>
        <v>79.15867684829162</v>
      </c>
      <c r="F32" s="49">
        <v>41.0428551937379</v>
      </c>
      <c r="G32" s="13">
        <f t="shared" si="10"/>
        <v>2.24265521111827</v>
      </c>
      <c r="H32" s="14">
        <f t="shared" si="11"/>
        <v>7.6474542699133021</v>
      </c>
      <c r="I32" s="14">
        <f t="shared" si="12"/>
        <v>1.9286834815617124</v>
      </c>
      <c r="J32" s="25"/>
      <c r="K32" s="27"/>
    </row>
    <row r="33" spans="2:11" ht="15.9" customHeight="1">
      <c r="B33" s="22">
        <v>-20</v>
      </c>
      <c r="C33" s="49">
        <v>112.01401911486397</v>
      </c>
      <c r="D33" s="9">
        <f t="shared" si="13"/>
        <v>381.96780518168617</v>
      </c>
      <c r="E33" s="9">
        <f t="shared" si="14"/>
        <v>96.332056438783013</v>
      </c>
      <c r="F33" s="49">
        <v>45.784547223414386</v>
      </c>
      <c r="G33" s="13">
        <f t="shared" si="10"/>
        <v>2.4465463984665026</v>
      </c>
      <c r="H33" s="14">
        <f t="shared" si="11"/>
        <v>8.3427232187707734</v>
      </c>
      <c r="I33" s="14">
        <f t="shared" si="12"/>
        <v>2.1040299026811922</v>
      </c>
      <c r="J33" s="25"/>
      <c r="K33" s="27"/>
    </row>
    <row r="34" spans="2:11" ht="15.9" customHeight="1">
      <c r="B34" s="22">
        <v>-15</v>
      </c>
      <c r="C34" s="49">
        <v>135.95886385135813</v>
      </c>
      <c r="D34" s="9">
        <f t="shared" si="13"/>
        <v>463.61972573313125</v>
      </c>
      <c r="E34" s="9">
        <f t="shared" si="14"/>
        <v>116.92462291216799</v>
      </c>
      <c r="F34" s="49">
        <v>50.204236028071115</v>
      </c>
      <c r="G34" s="13">
        <f t="shared" si="10"/>
        <v>2.7081153824417985</v>
      </c>
      <c r="H34" s="14">
        <f t="shared" si="11"/>
        <v>9.2346734541265327</v>
      </c>
      <c r="I34" s="14">
        <f t="shared" si="12"/>
        <v>2.3289792288999469</v>
      </c>
      <c r="J34" s="25"/>
    </row>
    <row r="35" spans="2:11" ht="15.9" customHeight="1">
      <c r="B35" s="22">
        <v>-10</v>
      </c>
      <c r="C35" s="49">
        <v>164.37165949556018</v>
      </c>
      <c r="D35" s="9">
        <f t="shared" si="13"/>
        <v>560.50735887986025</v>
      </c>
      <c r="E35" s="9">
        <f t="shared" si="14"/>
        <v>141.35962716618175</v>
      </c>
      <c r="F35" s="49">
        <v>54.141204178363346</v>
      </c>
      <c r="G35" s="13">
        <f t="shared" si="10"/>
        <v>3.0359808576486862</v>
      </c>
      <c r="H35" s="14">
        <f t="shared" si="11"/>
        <v>10.352694724582021</v>
      </c>
      <c r="I35" s="14">
        <f t="shared" si="12"/>
        <v>2.61094353757787</v>
      </c>
      <c r="J35" s="25"/>
    </row>
    <row r="36" spans="2:11" ht="15.9" customHeight="1">
      <c r="B36" s="15"/>
    </row>
    <row r="37" spans="2:11" ht="15.9" customHeight="1">
      <c r="B37" s="72" t="s">
        <v>58</v>
      </c>
      <c r="C37" s="72"/>
      <c r="D37" s="72"/>
      <c r="E37" s="72"/>
      <c r="F37" s="72"/>
      <c r="G37" s="72"/>
      <c r="H37" s="72"/>
      <c r="I37" s="72"/>
      <c r="J37" s="23"/>
    </row>
    <row r="38" spans="2:11" ht="15.9" customHeight="1">
      <c r="B38" s="68" t="s">
        <v>52</v>
      </c>
      <c r="C38" s="69"/>
      <c r="D38" s="69"/>
      <c r="E38" s="69"/>
      <c r="F38" s="70"/>
      <c r="G38" s="69"/>
      <c r="H38" s="69"/>
      <c r="I38" s="71"/>
      <c r="J38" s="23"/>
    </row>
    <row r="39" spans="2:11" ht="15.9" customHeight="1">
      <c r="B39" s="77" t="s">
        <v>14</v>
      </c>
      <c r="C39" s="65" t="s">
        <v>15</v>
      </c>
      <c r="D39" s="66"/>
      <c r="E39" s="67"/>
      <c r="F39" s="19" t="s">
        <v>16</v>
      </c>
      <c r="G39" s="65" t="s">
        <v>17</v>
      </c>
      <c r="H39" s="66"/>
      <c r="I39" s="67"/>
      <c r="J39" s="24"/>
    </row>
    <row r="40" spans="2:11" ht="15.9" customHeight="1">
      <c r="B40" s="78"/>
      <c r="C40" s="80" t="s">
        <v>43</v>
      </c>
      <c r="D40" s="81"/>
      <c r="E40" s="82"/>
      <c r="F40" s="46" t="s">
        <v>45</v>
      </c>
      <c r="G40" s="80" t="s">
        <v>44</v>
      </c>
      <c r="H40" s="81"/>
      <c r="I40" s="82"/>
      <c r="J40" s="24"/>
    </row>
    <row r="41" spans="2:11" ht="15.9" customHeight="1">
      <c r="B41" s="47" t="s">
        <v>25</v>
      </c>
      <c r="C41" s="10" t="s">
        <v>18</v>
      </c>
      <c r="D41" s="10" t="s">
        <v>19</v>
      </c>
      <c r="E41" s="11" t="s">
        <v>20</v>
      </c>
      <c r="F41" s="10" t="s">
        <v>18</v>
      </c>
      <c r="G41" s="11" t="s">
        <v>21</v>
      </c>
      <c r="H41" s="11" t="s">
        <v>22</v>
      </c>
      <c r="I41" s="11" t="s">
        <v>23</v>
      </c>
      <c r="J41" s="24"/>
    </row>
    <row r="42" spans="2:11" ht="15.9" customHeight="1">
      <c r="B42" s="21">
        <v>-35</v>
      </c>
      <c r="C42" s="49">
        <v>67.068924767274709</v>
      </c>
      <c r="D42" s="9">
        <f>C42*3.41</f>
        <v>228.70503345640677</v>
      </c>
      <c r="E42" s="9">
        <f>C42*0.86</f>
        <v>57.679275299856251</v>
      </c>
      <c r="F42" s="49">
        <v>29.852261172288159</v>
      </c>
      <c r="G42" s="13">
        <f t="shared" ref="G42:G47" si="15">C42/F42</f>
        <v>2.2466949615707756</v>
      </c>
      <c r="H42" s="14">
        <f t="shared" ref="H42:H47" si="16">D42/F42</f>
        <v>7.6612298189563459</v>
      </c>
      <c r="I42" s="14">
        <f t="shared" ref="I42:I47" si="17">E42/F42</f>
        <v>1.9321576669508673</v>
      </c>
      <c r="J42" s="25"/>
    </row>
    <row r="43" spans="2:11" ht="15.9" customHeight="1">
      <c r="B43" s="21">
        <v>-30</v>
      </c>
      <c r="C43" s="49">
        <v>80.564157469362385</v>
      </c>
      <c r="D43" s="9">
        <f t="shared" ref="D43:D47" si="18">C43*3.41</f>
        <v>274.72377697052576</v>
      </c>
      <c r="E43" s="9">
        <f t="shared" ref="E43:E47" si="19">C43*0.86</f>
        <v>69.285175423651651</v>
      </c>
      <c r="F43" s="49">
        <v>34.328678747973299</v>
      </c>
      <c r="G43" s="13">
        <f t="shared" si="15"/>
        <v>2.3468470214315702</v>
      </c>
      <c r="H43" s="14">
        <f t="shared" si="16"/>
        <v>8.0027483430816559</v>
      </c>
      <c r="I43" s="14">
        <f t="shared" si="17"/>
        <v>2.0182884384311506</v>
      </c>
      <c r="J43" s="25"/>
    </row>
    <row r="44" spans="2:11" ht="15.9" customHeight="1">
      <c r="B44" s="21">
        <v>-25</v>
      </c>
      <c r="C44" s="49">
        <v>97.051377966218524</v>
      </c>
      <c r="D44" s="9">
        <f t="shared" si="18"/>
        <v>330.94519886480521</v>
      </c>
      <c r="E44" s="9">
        <f t="shared" si="19"/>
        <v>83.464185050947933</v>
      </c>
      <c r="F44" s="49">
        <v>38.722850591310277</v>
      </c>
      <c r="G44" s="13">
        <f t="shared" si="15"/>
        <v>2.5063076835566864</v>
      </c>
      <c r="H44" s="14">
        <f t="shared" si="16"/>
        <v>8.5465092009283019</v>
      </c>
      <c r="I44" s="14">
        <f t="shared" si="17"/>
        <v>2.1554246078587505</v>
      </c>
      <c r="J44" s="25"/>
    </row>
    <row r="45" spans="2:11" ht="15.9" customHeight="1">
      <c r="B45" s="21">
        <v>-20</v>
      </c>
      <c r="C45" s="49">
        <v>117.02273846451197</v>
      </c>
      <c r="D45" s="9">
        <f t="shared" si="18"/>
        <v>399.04753816398585</v>
      </c>
      <c r="E45" s="9">
        <f t="shared" si="19"/>
        <v>100.6395550794803</v>
      </c>
      <c r="F45" s="49">
        <v>42.874059272954334</v>
      </c>
      <c r="G45" s="13">
        <f t="shared" si="15"/>
        <v>2.7294532043139625</v>
      </c>
      <c r="H45" s="14">
        <f t="shared" si="16"/>
        <v>9.3074354267106134</v>
      </c>
      <c r="I45" s="14">
        <f t="shared" si="17"/>
        <v>2.3473297557100081</v>
      </c>
      <c r="J45" s="25"/>
    </row>
    <row r="46" spans="2:11" ht="15.9" customHeight="1">
      <c r="B46" s="21">
        <v>-15</v>
      </c>
      <c r="C46" s="49">
        <v>140.97039117091168</v>
      </c>
      <c r="D46" s="9">
        <f t="shared" si="18"/>
        <v>480.70903389280886</v>
      </c>
      <c r="E46" s="9">
        <f t="shared" si="19"/>
        <v>121.23453640698405</v>
      </c>
      <c r="F46" s="49">
        <v>46.621587363560757</v>
      </c>
      <c r="G46" s="13">
        <f t="shared" si="15"/>
        <v>3.0237149600164317</v>
      </c>
      <c r="H46" s="14">
        <f t="shared" si="16"/>
        <v>10.310868013656032</v>
      </c>
      <c r="I46" s="14">
        <f t="shared" si="17"/>
        <v>2.6003948656141311</v>
      </c>
      <c r="J46" s="25"/>
    </row>
    <row r="47" spans="2:11" ht="15.9" customHeight="1">
      <c r="B47" s="21">
        <v>-10</v>
      </c>
      <c r="C47" s="49">
        <v>169.38648829208643</v>
      </c>
      <c r="D47" s="9">
        <f t="shared" si="18"/>
        <v>577.60792507601468</v>
      </c>
      <c r="E47" s="9">
        <f t="shared" si="19"/>
        <v>145.67237993119431</v>
      </c>
      <c r="F47" s="49">
        <v>49.804717433784859</v>
      </c>
      <c r="G47" s="13">
        <f t="shared" si="15"/>
        <v>3.4010129365212238</v>
      </c>
      <c r="H47" s="14">
        <f t="shared" si="16"/>
        <v>11.597454113537372</v>
      </c>
      <c r="I47" s="14">
        <f t="shared" si="17"/>
        <v>2.9248711254082522</v>
      </c>
      <c r="J47" s="25"/>
    </row>
    <row r="48" spans="2:11" ht="18" customHeight="1">
      <c r="B48" s="15"/>
    </row>
    <row r="49" spans="2:11" ht="18" customHeight="1">
      <c r="B49" s="68" t="s">
        <v>59</v>
      </c>
      <c r="C49" s="69"/>
      <c r="D49" s="69"/>
      <c r="E49" s="69"/>
      <c r="F49" s="69"/>
      <c r="G49" s="69"/>
      <c r="H49" s="69"/>
      <c r="I49" s="71"/>
      <c r="J49" s="23"/>
    </row>
    <row r="50" spans="2:11" ht="18" customHeight="1">
      <c r="B50" s="68" t="s">
        <v>52</v>
      </c>
      <c r="C50" s="69"/>
      <c r="D50" s="69"/>
      <c r="E50" s="69"/>
      <c r="F50" s="70"/>
      <c r="G50" s="69"/>
      <c r="H50" s="69"/>
      <c r="I50" s="71"/>
      <c r="J50" s="23"/>
    </row>
    <row r="51" spans="2:11" ht="18" customHeight="1">
      <c r="B51" s="77" t="s">
        <v>14</v>
      </c>
      <c r="C51" s="65" t="s">
        <v>15</v>
      </c>
      <c r="D51" s="66"/>
      <c r="E51" s="67"/>
      <c r="F51" s="19" t="s">
        <v>16</v>
      </c>
      <c r="G51" s="65" t="s">
        <v>17</v>
      </c>
      <c r="H51" s="66"/>
      <c r="I51" s="67"/>
      <c r="J51" s="24"/>
    </row>
    <row r="52" spans="2:11" ht="18" customHeight="1">
      <c r="B52" s="78"/>
      <c r="C52" s="80" t="s">
        <v>43</v>
      </c>
      <c r="D52" s="81"/>
      <c r="E52" s="82"/>
      <c r="F52" s="46" t="s">
        <v>45</v>
      </c>
      <c r="G52" s="80" t="s">
        <v>44</v>
      </c>
      <c r="H52" s="81"/>
      <c r="I52" s="82"/>
      <c r="J52" s="24"/>
    </row>
    <row r="53" spans="2:11" ht="18" customHeight="1">
      <c r="B53" s="21" t="s">
        <v>25</v>
      </c>
      <c r="C53" s="19" t="s">
        <v>18</v>
      </c>
      <c r="D53" s="19" t="s">
        <v>19</v>
      </c>
      <c r="E53" s="21" t="s">
        <v>20</v>
      </c>
      <c r="F53" s="19" t="s">
        <v>18</v>
      </c>
      <c r="G53" s="21" t="s">
        <v>21</v>
      </c>
      <c r="H53" s="21" t="s">
        <v>22</v>
      </c>
      <c r="I53" s="21" t="s">
        <v>23</v>
      </c>
      <c r="J53" s="24"/>
    </row>
    <row r="54" spans="2:11" ht="18" customHeight="1">
      <c r="B54" s="17">
        <v>-35</v>
      </c>
      <c r="C54" s="49">
        <v>72.071098833069698</v>
      </c>
      <c r="D54" s="9">
        <f>C54*3.41</f>
        <v>245.76244702076767</v>
      </c>
      <c r="E54" s="9">
        <f>C54*0.86</f>
        <v>61.981144996439937</v>
      </c>
      <c r="F54" s="49">
        <v>28.399470188982054</v>
      </c>
      <c r="G54" s="13">
        <f t="shared" ref="G54:G59" si="20">C54/F54</f>
        <v>2.5377620904009195</v>
      </c>
      <c r="H54" s="14">
        <f t="shared" ref="H54:H59" si="21">D54/F54</f>
        <v>8.6537687282671367</v>
      </c>
      <c r="I54" s="14">
        <f t="shared" ref="I54:I59" si="22">E54/F54</f>
        <v>2.1824753977447906</v>
      </c>
      <c r="J54" s="25"/>
    </row>
    <row r="55" spans="2:11" ht="18" customHeight="1">
      <c r="B55" s="17">
        <v>-30</v>
      </c>
      <c r="C55" s="49">
        <v>85.567252962547457</v>
      </c>
      <c r="D55" s="9">
        <f t="shared" ref="D55:D59" si="23">C55*3.41</f>
        <v>291.78433260228684</v>
      </c>
      <c r="E55" s="9">
        <f t="shared" ref="E55:E59" si="24">C55*0.86</f>
        <v>73.587837547790812</v>
      </c>
      <c r="F55" s="49">
        <v>32.426791335891686</v>
      </c>
      <c r="G55" s="13">
        <f t="shared" si="20"/>
        <v>2.6387826065244111</v>
      </c>
      <c r="H55" s="14">
        <f t="shared" si="21"/>
        <v>8.9982486882482426</v>
      </c>
      <c r="I55" s="14">
        <f t="shared" si="22"/>
        <v>2.2693530416109935</v>
      </c>
      <c r="J55" s="25"/>
      <c r="K55" s="27"/>
    </row>
    <row r="56" spans="2:11" ht="18" customHeight="1">
      <c r="B56" s="17">
        <v>-25</v>
      </c>
      <c r="C56" s="49">
        <v>102.05588839386084</v>
      </c>
      <c r="D56" s="9">
        <f t="shared" si="23"/>
        <v>348.01057942306551</v>
      </c>
      <c r="E56" s="9">
        <f t="shared" si="24"/>
        <v>87.768064018720324</v>
      </c>
      <c r="F56" s="49">
        <v>36.29018938443533</v>
      </c>
      <c r="G56" s="13">
        <f t="shared" si="20"/>
        <v>2.8122170240762663</v>
      </c>
      <c r="H56" s="14">
        <f t="shared" si="21"/>
        <v>9.5896600521000703</v>
      </c>
      <c r="I56" s="14">
        <f t="shared" si="22"/>
        <v>2.4185066407055893</v>
      </c>
      <c r="J56" s="25"/>
    </row>
    <row r="57" spans="2:11" ht="18" customHeight="1">
      <c r="B57" s="17">
        <v>-20</v>
      </c>
      <c r="C57" s="49">
        <v>122.02915733367874</v>
      </c>
      <c r="D57" s="9">
        <f t="shared" si="23"/>
        <v>416.11942650784454</v>
      </c>
      <c r="E57" s="9">
        <f t="shared" si="24"/>
        <v>104.94507530696372</v>
      </c>
      <c r="F57" s="49">
        <v>39.828946905268161</v>
      </c>
      <c r="G57" s="13">
        <f t="shared" si="20"/>
        <v>3.0638308771738574</v>
      </c>
      <c r="H57" s="14">
        <f t="shared" si="21"/>
        <v>10.447663291162854</v>
      </c>
      <c r="I57" s="14">
        <f t="shared" si="22"/>
        <v>2.6348945543695175</v>
      </c>
      <c r="J57" s="25"/>
    </row>
    <row r="58" spans="2:11" ht="18" customHeight="1">
      <c r="B58" s="17">
        <v>-15</v>
      </c>
      <c r="C58" s="49">
        <v>145.97921198867004</v>
      </c>
      <c r="D58" s="9">
        <f t="shared" si="23"/>
        <v>497.78911288136487</v>
      </c>
      <c r="E58" s="9">
        <f t="shared" si="24"/>
        <v>125.54212231025623</v>
      </c>
      <c r="F58" s="49">
        <v>42.882346469045537</v>
      </c>
      <c r="G58" s="13">
        <f t="shared" si="20"/>
        <v>3.4041796685273416</v>
      </c>
      <c r="H58" s="14">
        <f t="shared" si="21"/>
        <v>11.608252669678235</v>
      </c>
      <c r="I58" s="14">
        <f t="shared" si="22"/>
        <v>2.9275945149335136</v>
      </c>
      <c r="J58" s="25"/>
    </row>
    <row r="59" spans="2:11" ht="18" customHeight="1">
      <c r="B59" s="17">
        <v>-10</v>
      </c>
      <c r="C59" s="49">
        <v>174.39820456550356</v>
      </c>
      <c r="D59" s="9">
        <f t="shared" si="23"/>
        <v>594.69787756836718</v>
      </c>
      <c r="E59" s="9">
        <f t="shared" si="24"/>
        <v>149.98245592633307</v>
      </c>
      <c r="F59" s="49">
        <v>45.289670646422721</v>
      </c>
      <c r="G59" s="13">
        <f t="shared" si="20"/>
        <v>3.8507280374598771</v>
      </c>
      <c r="H59" s="14">
        <f t="shared" si="21"/>
        <v>13.130982607738181</v>
      </c>
      <c r="I59" s="14">
        <f t="shared" si="22"/>
        <v>3.3116261122154946</v>
      </c>
      <c r="J59" s="25"/>
    </row>
    <row r="62" spans="2:11" ht="18" customHeight="1">
      <c r="B62" s="72" t="s">
        <v>60</v>
      </c>
      <c r="C62" s="72"/>
      <c r="D62" s="72"/>
      <c r="E62" s="72"/>
      <c r="F62" s="79"/>
      <c r="G62" s="72"/>
      <c r="H62" s="72"/>
      <c r="I62" s="72"/>
    </row>
    <row r="63" spans="2:11" ht="18" customHeight="1">
      <c r="B63" s="68" t="s">
        <v>52</v>
      </c>
      <c r="C63" s="69"/>
      <c r="D63" s="69"/>
      <c r="E63" s="69"/>
      <c r="F63" s="70"/>
      <c r="G63" s="69"/>
      <c r="H63" s="69"/>
      <c r="I63" s="71"/>
    </row>
    <row r="64" spans="2:11" ht="18" customHeight="1">
      <c r="B64" s="77" t="s">
        <v>48</v>
      </c>
      <c r="C64" s="65" t="s">
        <v>15</v>
      </c>
      <c r="D64" s="66"/>
      <c r="E64" s="67"/>
      <c r="F64" s="19" t="s">
        <v>16</v>
      </c>
      <c r="G64" s="65" t="s">
        <v>17</v>
      </c>
      <c r="H64" s="66"/>
      <c r="I64" s="67"/>
    </row>
    <row r="65" spans="2:9" ht="18" customHeight="1">
      <c r="B65" s="78"/>
      <c r="C65" s="80" t="s">
        <v>43</v>
      </c>
      <c r="D65" s="81"/>
      <c r="E65" s="82"/>
      <c r="F65" s="46" t="s">
        <v>45</v>
      </c>
      <c r="G65" s="80" t="s">
        <v>44</v>
      </c>
      <c r="H65" s="81"/>
      <c r="I65" s="82"/>
    </row>
    <row r="66" spans="2:9" ht="18" customHeight="1">
      <c r="B66" s="47" t="s">
        <v>25</v>
      </c>
      <c r="C66" s="10" t="s">
        <v>18</v>
      </c>
      <c r="D66" s="10" t="s">
        <v>19</v>
      </c>
      <c r="E66" s="47" t="s">
        <v>20</v>
      </c>
      <c r="F66" s="12" t="s">
        <v>18</v>
      </c>
      <c r="G66" s="47" t="s">
        <v>21</v>
      </c>
      <c r="H66" s="47" t="s">
        <v>22</v>
      </c>
      <c r="I66" s="47" t="s">
        <v>23</v>
      </c>
    </row>
    <row r="67" spans="2:9" ht="18" customHeight="1">
      <c r="B67" s="51" t="s">
        <v>50</v>
      </c>
      <c r="C67" s="48">
        <v>89</v>
      </c>
      <c r="D67" s="9">
        <f>C67*3.412</f>
        <v>303.66800000000001</v>
      </c>
      <c r="E67" s="9">
        <f>C67*0.86</f>
        <v>76.539999999999992</v>
      </c>
      <c r="F67" s="49">
        <f>C67/G67</f>
        <v>46.354166666666671</v>
      </c>
      <c r="G67" s="13">
        <v>1.92</v>
      </c>
      <c r="H67" s="14">
        <f>G67*3.412</f>
        <v>6.5510399999999995</v>
      </c>
      <c r="I67" s="14">
        <f>G67*0.86</f>
        <v>1.6512</v>
      </c>
    </row>
  </sheetData>
  <mergeCells count="42">
    <mergeCell ref="G39:I39"/>
    <mergeCell ref="B38:I38"/>
    <mergeCell ref="G27:I27"/>
    <mergeCell ref="B39:B40"/>
    <mergeCell ref="C40:E40"/>
    <mergeCell ref="B1:I1"/>
    <mergeCell ref="C3:E3"/>
    <mergeCell ref="B13:I13"/>
    <mergeCell ref="C15:E15"/>
    <mergeCell ref="C39:E39"/>
    <mergeCell ref="B26:I26"/>
    <mergeCell ref="B14:I14"/>
    <mergeCell ref="G3:I3"/>
    <mergeCell ref="B2:I2"/>
    <mergeCell ref="B37:I37"/>
    <mergeCell ref="B25:I25"/>
    <mergeCell ref="G15:I15"/>
    <mergeCell ref="C16:E16"/>
    <mergeCell ref="G16:I16"/>
    <mergeCell ref="B27:B28"/>
    <mergeCell ref="C28:E28"/>
    <mergeCell ref="B3:B4"/>
    <mergeCell ref="C4:E4"/>
    <mergeCell ref="G4:I4"/>
    <mergeCell ref="B15:B16"/>
    <mergeCell ref="B63:I63"/>
    <mergeCell ref="G40:I40"/>
    <mergeCell ref="B51:B52"/>
    <mergeCell ref="C52:E52"/>
    <mergeCell ref="G52:I52"/>
    <mergeCell ref="B62:I62"/>
    <mergeCell ref="G28:I28"/>
    <mergeCell ref="B49:I49"/>
    <mergeCell ref="C27:E27"/>
    <mergeCell ref="B50:I50"/>
    <mergeCell ref="C51:E51"/>
    <mergeCell ref="G51:I51"/>
    <mergeCell ref="B64:B65"/>
    <mergeCell ref="C64:E64"/>
    <mergeCell ref="G64:I64"/>
    <mergeCell ref="C65:E65"/>
    <mergeCell ref="G65:I65"/>
  </mergeCells>
  <phoneticPr fontId="11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M69"/>
  <sheetViews>
    <sheetView tabSelected="1" zoomScale="85" zoomScaleNormal="85" workbookViewId="0">
      <selection activeCell="G6" sqref="G6"/>
    </sheetView>
  </sheetViews>
  <sheetFormatPr defaultColWidth="9" defaultRowHeight="18" customHeight="1"/>
  <cols>
    <col min="1" max="1" width="1.109375" style="8" customWidth="1"/>
    <col min="2" max="2" width="12.21875" style="8" customWidth="1"/>
    <col min="3" max="3" width="8" style="55" customWidth="1"/>
    <col min="4" max="5" width="8.6640625" style="55" customWidth="1"/>
    <col min="6" max="6" width="12.77734375" style="55" customWidth="1"/>
    <col min="7" max="9" width="9.6640625" style="8" customWidth="1"/>
    <col min="10" max="10" width="1.33203125" style="8" customWidth="1"/>
    <col min="11" max="19" width="9" style="8"/>
    <col min="20" max="20" width="6.88671875" style="8" customWidth="1"/>
    <col min="21" max="16384" width="9" style="8"/>
  </cols>
  <sheetData>
    <row r="1" spans="2:12" ht="15.6">
      <c r="B1" s="68" t="s">
        <v>62</v>
      </c>
      <c r="C1" s="69"/>
      <c r="D1" s="69"/>
      <c r="E1" s="69"/>
      <c r="F1" s="69"/>
      <c r="G1" s="69"/>
      <c r="H1" s="69"/>
      <c r="I1" s="71"/>
      <c r="J1" s="23"/>
    </row>
    <row r="2" spans="2:12" ht="15.75" customHeight="1">
      <c r="B2" s="68" t="s">
        <v>52</v>
      </c>
      <c r="C2" s="69"/>
      <c r="D2" s="69"/>
      <c r="E2" s="69"/>
      <c r="F2" s="70"/>
      <c r="G2" s="69"/>
      <c r="H2" s="69"/>
      <c r="I2" s="71"/>
      <c r="J2" s="23"/>
    </row>
    <row r="3" spans="2:12" ht="15.6">
      <c r="B3" s="77" t="s">
        <v>14</v>
      </c>
      <c r="C3" s="65" t="s">
        <v>15</v>
      </c>
      <c r="D3" s="66"/>
      <c r="E3" s="67"/>
      <c r="F3" s="14" t="s">
        <v>16</v>
      </c>
      <c r="G3" s="65" t="s">
        <v>17</v>
      </c>
      <c r="H3" s="66"/>
      <c r="I3" s="67"/>
      <c r="J3" s="24"/>
    </row>
    <row r="4" spans="2:12" ht="15.6">
      <c r="B4" s="78"/>
      <c r="C4" s="80" t="s">
        <v>43</v>
      </c>
      <c r="D4" s="81"/>
      <c r="E4" s="82"/>
      <c r="F4" s="57" t="s">
        <v>45</v>
      </c>
      <c r="G4" s="80" t="s">
        <v>44</v>
      </c>
      <c r="H4" s="81"/>
      <c r="I4" s="82"/>
      <c r="J4" s="24"/>
    </row>
    <row r="5" spans="2:12" ht="31.2">
      <c r="B5" s="21" t="s">
        <v>25</v>
      </c>
      <c r="C5" s="14" t="s">
        <v>18</v>
      </c>
      <c r="D5" s="14" t="s">
        <v>19</v>
      </c>
      <c r="E5" s="14" t="s">
        <v>20</v>
      </c>
      <c r="F5" s="14" t="s">
        <v>18</v>
      </c>
      <c r="G5" s="21" t="s">
        <v>21</v>
      </c>
      <c r="H5" s="21" t="s">
        <v>22</v>
      </c>
      <c r="I5" s="21" t="s">
        <v>23</v>
      </c>
      <c r="J5" s="24"/>
    </row>
    <row r="6" spans="2:12" ht="15.6">
      <c r="B6" s="58">
        <v>-35</v>
      </c>
      <c r="C6" s="50">
        <v>41.998037989741533</v>
      </c>
      <c r="D6" s="19">
        <f>C6*3.41</f>
        <v>143.21330954501863</v>
      </c>
      <c r="E6" s="19">
        <f>C6*0.86</f>
        <v>36.118312671177719</v>
      </c>
      <c r="F6" s="50">
        <v>27.353683661748953</v>
      </c>
      <c r="G6" s="54">
        <f t="shared" ref="G6:G11" si="0">C6/F6</f>
        <v>1.5353704645078958</v>
      </c>
      <c r="H6" s="54">
        <f t="shared" ref="H6:H11" si="1">D6/F6</f>
        <v>5.2356132839719249</v>
      </c>
      <c r="I6" s="54">
        <f t="shared" ref="I6:I11" si="2">E6/F6</f>
        <v>1.3204185994767905</v>
      </c>
      <c r="J6" s="25"/>
      <c r="L6" s="26"/>
    </row>
    <row r="7" spans="2:12" ht="15.6">
      <c r="B7" s="58">
        <v>-30</v>
      </c>
      <c r="C7" s="50">
        <v>52.91132254060043</v>
      </c>
      <c r="D7" s="19">
        <f t="shared" ref="D7:D11" si="3">C7*3.41</f>
        <v>180.42760986344749</v>
      </c>
      <c r="E7" s="19">
        <f t="shared" ref="E7:E11" si="4">C7*0.86</f>
        <v>45.50373738491637</v>
      </c>
      <c r="F7" s="50">
        <v>31.958366795955794</v>
      </c>
      <c r="G7" s="54">
        <f t="shared" si="0"/>
        <v>1.6556328700531766</v>
      </c>
      <c r="H7" s="54">
        <f t="shared" si="1"/>
        <v>5.6457080868813323</v>
      </c>
      <c r="I7" s="54">
        <f t="shared" si="2"/>
        <v>1.4238442682457317</v>
      </c>
      <c r="J7" s="25"/>
      <c r="L7" s="26"/>
    </row>
    <row r="8" spans="2:12" ht="15.6">
      <c r="B8" s="58">
        <v>-25</v>
      </c>
      <c r="C8" s="50">
        <v>66.243893874569721</v>
      </c>
      <c r="D8" s="19">
        <f t="shared" si="3"/>
        <v>225.89167811228276</v>
      </c>
      <c r="E8" s="19">
        <f t="shared" si="4"/>
        <v>56.969748732129958</v>
      </c>
      <c r="F8" s="50">
        <v>36.694742270957995</v>
      </c>
      <c r="G8" s="54">
        <f t="shared" si="0"/>
        <v>1.8052693594471261</v>
      </c>
      <c r="H8" s="54">
        <f t="shared" si="1"/>
        <v>6.1559685157146999</v>
      </c>
      <c r="I8" s="54">
        <f t="shared" si="2"/>
        <v>1.5525316491245285</v>
      </c>
      <c r="J8" s="25"/>
      <c r="L8" s="26"/>
    </row>
    <row r="9" spans="2:12" ht="15.6">
      <c r="B9" s="58">
        <v>-20</v>
      </c>
      <c r="C9" s="50">
        <v>82.393897597044315</v>
      </c>
      <c r="D9" s="19">
        <f t="shared" si="3"/>
        <v>280.9631908059211</v>
      </c>
      <c r="E9" s="19">
        <f t="shared" si="4"/>
        <v>70.858751933458109</v>
      </c>
      <c r="F9" s="50">
        <v>41.432791492229484</v>
      </c>
      <c r="G9" s="54">
        <f t="shared" si="0"/>
        <v>1.9886156502995191</v>
      </c>
      <c r="H9" s="54">
        <f t="shared" si="1"/>
        <v>6.7811793675213599</v>
      </c>
      <c r="I9" s="54">
        <f t="shared" si="2"/>
        <v>1.7102094592575863</v>
      </c>
      <c r="J9" s="25"/>
      <c r="K9" s="27"/>
    </row>
    <row r="10" spans="2:12" ht="15.6">
      <c r="B10" s="58">
        <v>-15</v>
      </c>
      <c r="C10" s="50">
        <v>101.7594793134194</v>
      </c>
      <c r="D10" s="19">
        <f t="shared" si="3"/>
        <v>346.9998244587602</v>
      </c>
      <c r="E10" s="19">
        <f t="shared" si="4"/>
        <v>87.513152209540692</v>
      </c>
      <c r="F10" s="50">
        <v>46.042495865244213</v>
      </c>
      <c r="G10" s="54">
        <f t="shared" si="0"/>
        <v>2.2101208329636597</v>
      </c>
      <c r="H10" s="54">
        <f t="shared" si="1"/>
        <v>7.5365120404060804</v>
      </c>
      <c r="I10" s="54">
        <f t="shared" si="2"/>
        <v>1.9007039163487476</v>
      </c>
      <c r="J10" s="25"/>
      <c r="K10" s="27"/>
    </row>
    <row r="11" spans="2:12" ht="15.6">
      <c r="B11" s="58">
        <v>-10</v>
      </c>
      <c r="C11" s="50">
        <v>124.73878462908991</v>
      </c>
      <c r="D11" s="19">
        <f t="shared" si="3"/>
        <v>425.35925558519659</v>
      </c>
      <c r="E11" s="19">
        <f t="shared" si="4"/>
        <v>107.27535478101731</v>
      </c>
      <c r="F11" s="50">
        <v>50.393836795476091</v>
      </c>
      <c r="G11" s="54">
        <f t="shared" si="0"/>
        <v>2.4752785769288326</v>
      </c>
      <c r="H11" s="54">
        <f t="shared" si="1"/>
        <v>8.4406999473273192</v>
      </c>
      <c r="I11" s="54">
        <f t="shared" si="2"/>
        <v>2.1287395761587962</v>
      </c>
      <c r="J11" s="25"/>
      <c r="K11" s="27"/>
    </row>
    <row r="12" spans="2:12" ht="15.6">
      <c r="B12" s="45"/>
    </row>
    <row r="13" spans="2:12" ht="15.6">
      <c r="B13" s="68" t="s">
        <v>63</v>
      </c>
      <c r="C13" s="69"/>
      <c r="D13" s="69"/>
      <c r="E13" s="69"/>
      <c r="F13" s="69"/>
      <c r="G13" s="69"/>
      <c r="H13" s="69"/>
      <c r="I13" s="71"/>
      <c r="J13" s="23"/>
    </row>
    <row r="14" spans="2:12" ht="15.75" customHeight="1">
      <c r="B14" s="68" t="s">
        <v>52</v>
      </c>
      <c r="C14" s="69"/>
      <c r="D14" s="69"/>
      <c r="E14" s="69"/>
      <c r="F14" s="70"/>
      <c r="G14" s="69"/>
      <c r="H14" s="69"/>
      <c r="I14" s="71"/>
      <c r="J14" s="23"/>
    </row>
    <row r="15" spans="2:12" ht="15.6">
      <c r="B15" s="77" t="s">
        <v>14</v>
      </c>
      <c r="C15" s="65" t="s">
        <v>15</v>
      </c>
      <c r="D15" s="66"/>
      <c r="E15" s="67"/>
      <c r="F15" s="14" t="s">
        <v>16</v>
      </c>
      <c r="G15" s="65" t="s">
        <v>17</v>
      </c>
      <c r="H15" s="66"/>
      <c r="I15" s="67"/>
      <c r="J15" s="24"/>
    </row>
    <row r="16" spans="2:12" ht="15.6">
      <c r="B16" s="78"/>
      <c r="C16" s="80" t="s">
        <v>43</v>
      </c>
      <c r="D16" s="81"/>
      <c r="E16" s="82"/>
      <c r="F16" s="57" t="s">
        <v>45</v>
      </c>
      <c r="G16" s="80" t="s">
        <v>44</v>
      </c>
      <c r="H16" s="81"/>
      <c r="I16" s="82"/>
      <c r="J16" s="24"/>
    </row>
    <row r="17" spans="2:13" ht="31.2">
      <c r="B17" s="21" t="s">
        <v>25</v>
      </c>
      <c r="C17" s="14" t="s">
        <v>18</v>
      </c>
      <c r="D17" s="14" t="s">
        <v>19</v>
      </c>
      <c r="E17" s="14" t="s">
        <v>20</v>
      </c>
      <c r="F17" s="14" t="s">
        <v>18</v>
      </c>
      <c r="G17" s="21" t="s">
        <v>21</v>
      </c>
      <c r="H17" s="21" t="s">
        <v>22</v>
      </c>
      <c r="I17" s="21" t="s">
        <v>23</v>
      </c>
      <c r="J17" s="24"/>
    </row>
    <row r="18" spans="2:13" ht="15.6">
      <c r="B18" s="18">
        <v>-35</v>
      </c>
      <c r="C18" s="50">
        <v>47.002423772997389</v>
      </c>
      <c r="D18" s="19">
        <f>C18*3.41</f>
        <v>160.27826506592109</v>
      </c>
      <c r="E18" s="19">
        <f>C18*0.86</f>
        <v>40.422084444777752</v>
      </c>
      <c r="F18" s="50">
        <v>26.336751545560968</v>
      </c>
      <c r="G18" s="54">
        <f t="shared" ref="G18:G23" si="5">C18/F18</f>
        <v>1.7846705084978332</v>
      </c>
      <c r="H18" s="54">
        <f t="shared" ref="H18:H23" si="6">D18/F18</f>
        <v>6.0857264339776114</v>
      </c>
      <c r="I18" s="54">
        <f t="shared" ref="I18:I23" si="7">E18/F18</f>
        <v>1.5348166373081364</v>
      </c>
      <c r="J18" s="25"/>
    </row>
    <row r="19" spans="2:13" ht="15.6">
      <c r="B19" s="18">
        <v>-30</v>
      </c>
      <c r="C19" s="50">
        <v>57.917439148304524</v>
      </c>
      <c r="D19" s="19">
        <f t="shared" ref="D19:D23" si="8">C19*3.41</f>
        <v>197.49846749571844</v>
      </c>
      <c r="E19" s="19">
        <f t="shared" ref="E19:E23" si="9">C19*0.86</f>
        <v>49.808997667541888</v>
      </c>
      <c r="F19" s="50">
        <v>30.631435856041733</v>
      </c>
      <c r="G19" s="54">
        <f t="shared" si="5"/>
        <v>1.8907843373878574</v>
      </c>
      <c r="H19" s="54">
        <f t="shared" si="6"/>
        <v>6.4475745904925938</v>
      </c>
      <c r="I19" s="54">
        <f t="shared" si="7"/>
        <v>1.6260745301535573</v>
      </c>
      <c r="J19" s="25"/>
    </row>
    <row r="20" spans="2:13" ht="15.6">
      <c r="B20" s="18">
        <v>-25</v>
      </c>
      <c r="C20" s="50">
        <v>71.252140548394323</v>
      </c>
      <c r="D20" s="19">
        <f t="shared" si="8"/>
        <v>242.96979927002465</v>
      </c>
      <c r="E20" s="19">
        <f t="shared" si="9"/>
        <v>61.276840871619115</v>
      </c>
      <c r="F20" s="50">
        <v>34.99173643593263</v>
      </c>
      <c r="G20" s="54">
        <f t="shared" si="5"/>
        <v>2.0362562080579196</v>
      </c>
      <c r="H20" s="54">
        <f t="shared" si="6"/>
        <v>6.9436336694775065</v>
      </c>
      <c r="I20" s="54">
        <f t="shared" si="7"/>
        <v>1.7511803389298108</v>
      </c>
      <c r="J20" s="25"/>
    </row>
    <row r="21" spans="2:13" ht="15.6">
      <c r="B21" s="18">
        <v>-20</v>
      </c>
      <c r="C21" s="50">
        <v>87.4046735786618</v>
      </c>
      <c r="D21" s="19">
        <f t="shared" si="8"/>
        <v>298.04993690323676</v>
      </c>
      <c r="E21" s="19">
        <f t="shared" si="9"/>
        <v>75.168019277649151</v>
      </c>
      <c r="F21" s="50">
        <v>39.287634690707577</v>
      </c>
      <c r="G21" s="54">
        <f t="shared" si="5"/>
        <v>2.2247374846247743</v>
      </c>
      <c r="H21" s="54">
        <f t="shared" si="6"/>
        <v>7.5863548225704811</v>
      </c>
      <c r="I21" s="54">
        <f t="shared" si="7"/>
        <v>1.9132742367773061</v>
      </c>
      <c r="J21" s="25"/>
    </row>
    <row r="22" spans="2:13" ht="15.6">
      <c r="B22" s="18">
        <v>-15</v>
      </c>
      <c r="C22" s="50">
        <v>106.77318384450206</v>
      </c>
      <c r="D22" s="19">
        <f t="shared" si="8"/>
        <v>364.09655690975205</v>
      </c>
      <c r="E22" s="19">
        <f t="shared" si="9"/>
        <v>91.824938106271773</v>
      </c>
      <c r="F22" s="50">
        <v>43.389112025840539</v>
      </c>
      <c r="G22" s="54">
        <f t="shared" si="5"/>
        <v>2.4608289697404482</v>
      </c>
      <c r="H22" s="54">
        <f t="shared" si="6"/>
        <v>8.3914267868149288</v>
      </c>
      <c r="I22" s="54">
        <f t="shared" si="7"/>
        <v>2.1163129139767856</v>
      </c>
      <c r="J22" s="25"/>
    </row>
    <row r="23" spans="2:13" ht="15.6">
      <c r="B23" s="18">
        <v>-10</v>
      </c>
      <c r="C23" s="50">
        <v>129.75581695131004</v>
      </c>
      <c r="D23" s="19">
        <f t="shared" si="8"/>
        <v>442.46733580396727</v>
      </c>
      <c r="E23" s="19">
        <f t="shared" si="9"/>
        <v>111.59000257812663</v>
      </c>
      <c r="F23" s="50">
        <v>47.166149846805418</v>
      </c>
      <c r="G23" s="54">
        <f t="shared" si="5"/>
        <v>2.7510368637837512</v>
      </c>
      <c r="H23" s="54">
        <f t="shared" si="6"/>
        <v>9.3810357055025921</v>
      </c>
      <c r="I23" s="54">
        <f t="shared" si="7"/>
        <v>2.3658917028540261</v>
      </c>
      <c r="J23" s="25"/>
    </row>
    <row r="24" spans="2:13" ht="15.6">
      <c r="B24" s="15"/>
    </row>
    <row r="25" spans="2:13" ht="15.6">
      <c r="B25" s="72" t="s">
        <v>64</v>
      </c>
      <c r="C25" s="72"/>
      <c r="D25" s="72"/>
      <c r="E25" s="72"/>
      <c r="F25" s="72"/>
      <c r="G25" s="72"/>
      <c r="H25" s="72"/>
      <c r="I25" s="72"/>
      <c r="J25" s="23"/>
      <c r="M25" s="8" t="s">
        <v>24</v>
      </c>
    </row>
    <row r="26" spans="2:13" ht="15.75" customHeight="1">
      <c r="B26" s="68" t="s">
        <v>52</v>
      </c>
      <c r="C26" s="69"/>
      <c r="D26" s="69"/>
      <c r="E26" s="69"/>
      <c r="F26" s="70"/>
      <c r="G26" s="69"/>
      <c r="H26" s="69"/>
      <c r="I26" s="71"/>
      <c r="J26" s="23"/>
    </row>
    <row r="27" spans="2:13" ht="15.6">
      <c r="B27" s="77" t="s">
        <v>14</v>
      </c>
      <c r="C27" s="65" t="s">
        <v>15</v>
      </c>
      <c r="D27" s="66"/>
      <c r="E27" s="67"/>
      <c r="F27" s="14" t="s">
        <v>16</v>
      </c>
      <c r="G27" s="65" t="s">
        <v>17</v>
      </c>
      <c r="H27" s="66"/>
      <c r="I27" s="67"/>
      <c r="J27" s="24"/>
    </row>
    <row r="28" spans="2:13" ht="15.6">
      <c r="B28" s="78"/>
      <c r="C28" s="80" t="s">
        <v>43</v>
      </c>
      <c r="D28" s="81"/>
      <c r="E28" s="82"/>
      <c r="F28" s="57" t="s">
        <v>45</v>
      </c>
      <c r="G28" s="80" t="s">
        <v>44</v>
      </c>
      <c r="H28" s="81"/>
      <c r="I28" s="82"/>
      <c r="J28" s="24"/>
    </row>
    <row r="29" spans="2:13" ht="31.2">
      <c r="B29" s="21" t="s">
        <v>25</v>
      </c>
      <c r="C29" s="14" t="s">
        <v>18</v>
      </c>
      <c r="D29" s="14" t="s">
        <v>19</v>
      </c>
      <c r="E29" s="14" t="s">
        <v>20</v>
      </c>
      <c r="F29" s="14" t="s">
        <v>18</v>
      </c>
      <c r="G29" s="21" t="s">
        <v>21</v>
      </c>
      <c r="H29" s="21" t="s">
        <v>22</v>
      </c>
      <c r="I29" s="21" t="s">
        <v>23</v>
      </c>
      <c r="J29" s="24"/>
    </row>
    <row r="30" spans="2:13" ht="15.6">
      <c r="B30" s="22">
        <v>-35</v>
      </c>
      <c r="C30" s="50">
        <v>52.005933893434793</v>
      </c>
      <c r="D30" s="19">
        <f>C30*3.41</f>
        <v>177.34023457661266</v>
      </c>
      <c r="E30" s="19">
        <f>C30*0.86</f>
        <v>44.725103148353924</v>
      </c>
      <c r="F30" s="50">
        <v>25.269840951940697</v>
      </c>
      <c r="G30" s="54">
        <f t="shared" ref="G30:G35" si="10">C30/F30</f>
        <v>2.0580237917738375</v>
      </c>
      <c r="H30" s="54">
        <f t="shared" ref="H30:H35" si="11">D30/F30</f>
        <v>7.0178611299487867</v>
      </c>
      <c r="I30" s="54">
        <f t="shared" ref="I30:I35" si="12">E30/F30</f>
        <v>1.7699004609255002</v>
      </c>
      <c r="J30" s="25"/>
    </row>
    <row r="31" spans="2:13" ht="15.6">
      <c r="B31" s="22">
        <v>-30</v>
      </c>
      <c r="C31" s="50">
        <v>62.922351626509219</v>
      </c>
      <c r="D31" s="19">
        <f t="shared" ref="D31:D35" si="13">C31*3.41</f>
        <v>214.56521904639644</v>
      </c>
      <c r="E31" s="19">
        <f t="shared" ref="E31:E35" si="14">C31*0.86</f>
        <v>54.11322239879793</v>
      </c>
      <c r="F31" s="50">
        <v>29.236754724986707</v>
      </c>
      <c r="G31" s="54">
        <f t="shared" si="10"/>
        <v>2.1521660737788273</v>
      </c>
      <c r="H31" s="54">
        <f t="shared" si="11"/>
        <v>7.3388863115858012</v>
      </c>
      <c r="I31" s="54">
        <f t="shared" si="12"/>
        <v>1.8508628234497915</v>
      </c>
      <c r="J31" s="25"/>
      <c r="K31" s="27"/>
    </row>
    <row r="32" spans="2:13" ht="15.6">
      <c r="B32" s="22">
        <v>-25</v>
      </c>
      <c r="C32" s="50">
        <v>76.258854626038641</v>
      </c>
      <c r="D32" s="19">
        <f t="shared" si="13"/>
        <v>260.04269427479176</v>
      </c>
      <c r="E32" s="19">
        <f t="shared" si="14"/>
        <v>65.582614978393224</v>
      </c>
      <c r="F32" s="50">
        <v>33.203208696057622</v>
      </c>
      <c r="G32" s="54">
        <f t="shared" si="10"/>
        <v>2.296731479301072</v>
      </c>
      <c r="H32" s="54">
        <f t="shared" si="11"/>
        <v>7.8318543444166551</v>
      </c>
      <c r="I32" s="54">
        <f t="shared" si="12"/>
        <v>1.9751890721989216</v>
      </c>
      <c r="J32" s="25"/>
      <c r="K32" s="27"/>
    </row>
    <row r="33" spans="2:11" ht="15.6">
      <c r="B33" s="22">
        <v>-20</v>
      </c>
      <c r="C33" s="50">
        <v>92.413588497418061</v>
      </c>
      <c r="D33" s="19">
        <f t="shared" si="13"/>
        <v>315.13033677619558</v>
      </c>
      <c r="E33" s="19">
        <f t="shared" si="14"/>
        <v>79.475686107779538</v>
      </c>
      <c r="F33" s="50">
        <v>37.039184270627359</v>
      </c>
      <c r="G33" s="54">
        <f t="shared" si="10"/>
        <v>2.4950222397501194</v>
      </c>
      <c r="H33" s="54">
        <f t="shared" si="11"/>
        <v>8.5080258375479065</v>
      </c>
      <c r="I33" s="54">
        <f t="shared" si="12"/>
        <v>2.1457191261851025</v>
      </c>
      <c r="J33" s="25"/>
      <c r="K33" s="27"/>
    </row>
    <row r="34" spans="2:11" ht="15.6">
      <c r="B34" s="22">
        <v>-15</v>
      </c>
      <c r="C34" s="50">
        <v>111.78469884604255</v>
      </c>
      <c r="D34" s="19">
        <f t="shared" si="13"/>
        <v>381.18582306500508</v>
      </c>
      <c r="E34" s="19">
        <f t="shared" si="14"/>
        <v>96.134841007596592</v>
      </c>
      <c r="F34" s="50">
        <v>40.614662854169886</v>
      </c>
      <c r="G34" s="54">
        <f t="shared" si="10"/>
        <v>2.752323692736641</v>
      </c>
      <c r="H34" s="54">
        <f t="shared" si="11"/>
        <v>9.3854237922319452</v>
      </c>
      <c r="I34" s="54">
        <f t="shared" si="12"/>
        <v>2.3669983757535111</v>
      </c>
      <c r="J34" s="25"/>
    </row>
    <row r="35" spans="2:11" ht="15.6">
      <c r="B35" s="22">
        <v>-10</v>
      </c>
      <c r="C35" s="50">
        <v>134.77033127730712</v>
      </c>
      <c r="D35" s="19">
        <f t="shared" si="13"/>
        <v>459.56682965561731</v>
      </c>
      <c r="E35" s="19">
        <f t="shared" si="14"/>
        <v>115.90248489848412</v>
      </c>
      <c r="F35" s="50">
        <v>43.799625852159103</v>
      </c>
      <c r="G35" s="54">
        <f t="shared" si="10"/>
        <v>3.0769744867732385</v>
      </c>
      <c r="H35" s="54">
        <f t="shared" si="11"/>
        <v>10.492482999896744</v>
      </c>
      <c r="I35" s="54">
        <f t="shared" si="12"/>
        <v>2.6461980586249849</v>
      </c>
      <c r="J35" s="25"/>
    </row>
    <row r="36" spans="2:11" ht="15.6">
      <c r="B36" s="15"/>
    </row>
    <row r="37" spans="2:11" ht="15.6">
      <c r="B37" s="72" t="s">
        <v>65</v>
      </c>
      <c r="C37" s="72"/>
      <c r="D37" s="72"/>
      <c r="E37" s="72"/>
      <c r="F37" s="72"/>
      <c r="G37" s="72"/>
      <c r="H37" s="72"/>
      <c r="I37" s="72"/>
      <c r="J37" s="23"/>
    </row>
    <row r="38" spans="2:11" ht="15.75" customHeight="1">
      <c r="B38" s="68" t="s">
        <v>52</v>
      </c>
      <c r="C38" s="69"/>
      <c r="D38" s="69"/>
      <c r="E38" s="69"/>
      <c r="F38" s="70"/>
      <c r="G38" s="69"/>
      <c r="H38" s="69"/>
      <c r="I38" s="71"/>
      <c r="J38" s="23"/>
    </row>
    <row r="39" spans="2:11" ht="15.6">
      <c r="B39" s="77" t="s">
        <v>14</v>
      </c>
      <c r="C39" s="65" t="s">
        <v>15</v>
      </c>
      <c r="D39" s="66"/>
      <c r="E39" s="67"/>
      <c r="F39" s="14" t="s">
        <v>16</v>
      </c>
      <c r="G39" s="65" t="s">
        <v>17</v>
      </c>
      <c r="H39" s="66"/>
      <c r="I39" s="67"/>
      <c r="J39" s="24"/>
    </row>
    <row r="40" spans="2:11" ht="15.6">
      <c r="B40" s="78"/>
      <c r="C40" s="80" t="s">
        <v>43</v>
      </c>
      <c r="D40" s="81"/>
      <c r="E40" s="82"/>
      <c r="F40" s="57" t="s">
        <v>45</v>
      </c>
      <c r="G40" s="80" t="s">
        <v>44</v>
      </c>
      <c r="H40" s="81"/>
      <c r="I40" s="82"/>
      <c r="J40" s="24"/>
    </row>
    <row r="41" spans="2:11" ht="31.2">
      <c r="B41" s="53" t="s">
        <v>25</v>
      </c>
      <c r="C41" s="56" t="s">
        <v>18</v>
      </c>
      <c r="D41" s="56" t="s">
        <v>19</v>
      </c>
      <c r="E41" s="56" t="s">
        <v>20</v>
      </c>
      <c r="F41" s="56" t="s">
        <v>18</v>
      </c>
      <c r="G41" s="53" t="s">
        <v>21</v>
      </c>
      <c r="H41" s="53" t="s">
        <v>22</v>
      </c>
      <c r="I41" s="53" t="s">
        <v>23</v>
      </c>
      <c r="J41" s="24"/>
    </row>
    <row r="42" spans="2:11" ht="15.6">
      <c r="B42" s="21">
        <v>-35</v>
      </c>
      <c r="C42" s="50">
        <v>57.008568351053704</v>
      </c>
      <c r="D42" s="19">
        <f>C42*3.41</f>
        <v>194.39921807709314</v>
      </c>
      <c r="E42" s="19">
        <f>C42*0.86</f>
        <v>49.027368781906183</v>
      </c>
      <c r="F42" s="50">
        <v>24.15014386971626</v>
      </c>
      <c r="G42" s="54">
        <f t="shared" ref="G42:G47" si="15">C42/F42</f>
        <v>2.3605891815220685</v>
      </c>
      <c r="H42" s="54">
        <f t="shared" ref="H42:H47" si="16">D42/F42</f>
        <v>8.0496091089902535</v>
      </c>
      <c r="I42" s="54">
        <f t="shared" ref="I42:I47" si="17">E42/F42</f>
        <v>2.0301066961089789</v>
      </c>
      <c r="J42" s="25"/>
    </row>
    <row r="43" spans="2:11" ht="15.6">
      <c r="B43" s="21">
        <v>-30</v>
      </c>
      <c r="C43" s="50">
        <v>67.926059975214514</v>
      </c>
      <c r="D43" s="19">
        <f t="shared" ref="D43:D47" si="18">C43*3.41</f>
        <v>231.62786451548149</v>
      </c>
      <c r="E43" s="19">
        <f t="shared" ref="E43:E47" si="19">C43*0.86</f>
        <v>58.416411578684482</v>
      </c>
      <c r="F43" s="50">
        <v>27.771515391618845</v>
      </c>
      <c r="G43" s="54">
        <f t="shared" si="15"/>
        <v>2.4458895748884446</v>
      </c>
      <c r="H43" s="54">
        <f t="shared" si="16"/>
        <v>8.3404834503695966</v>
      </c>
      <c r="I43" s="54">
        <f t="shared" si="17"/>
        <v>2.1034650344040622</v>
      </c>
      <c r="J43" s="25"/>
    </row>
    <row r="44" spans="2:11" ht="15.6">
      <c r="B44" s="21">
        <v>-25</v>
      </c>
      <c r="C44" s="50">
        <v>81.264036107502619</v>
      </c>
      <c r="D44" s="19">
        <f t="shared" si="18"/>
        <v>277.11036312658393</v>
      </c>
      <c r="E44" s="19">
        <f t="shared" si="19"/>
        <v>69.887071052452256</v>
      </c>
      <c r="F44" s="50">
        <v>31.326351040161114</v>
      </c>
      <c r="G44" s="54">
        <f t="shared" si="15"/>
        <v>2.5941111367653455</v>
      </c>
      <c r="H44" s="54">
        <f t="shared" si="16"/>
        <v>8.8459189763698287</v>
      </c>
      <c r="I44" s="54">
        <f t="shared" si="17"/>
        <v>2.2309355776181974</v>
      </c>
      <c r="J44" s="25"/>
    </row>
    <row r="45" spans="2:11" ht="15.6">
      <c r="B45" s="21">
        <v>-20</v>
      </c>
      <c r="C45" s="50">
        <v>97.42064235331307</v>
      </c>
      <c r="D45" s="19">
        <f t="shared" si="18"/>
        <v>332.20439042479757</v>
      </c>
      <c r="E45" s="19">
        <f t="shared" si="19"/>
        <v>83.781752423849241</v>
      </c>
      <c r="F45" s="50">
        <v>34.684632220816979</v>
      </c>
      <c r="G45" s="54">
        <f t="shared" si="15"/>
        <v>2.8087552358373653</v>
      </c>
      <c r="H45" s="54">
        <f t="shared" si="16"/>
        <v>9.5778553542054148</v>
      </c>
      <c r="I45" s="54">
        <f t="shared" si="17"/>
        <v>2.4155295028201342</v>
      </c>
      <c r="J45" s="25"/>
    </row>
    <row r="46" spans="2:11" ht="15.6">
      <c r="B46" s="21">
        <v>-15</v>
      </c>
      <c r="C46" s="50">
        <v>116.79402431804093</v>
      </c>
      <c r="D46" s="19">
        <f t="shared" si="18"/>
        <v>398.26762292451957</v>
      </c>
      <c r="E46" s="19">
        <f t="shared" si="19"/>
        <v>100.44286091351519</v>
      </c>
      <c r="F46" s="50">
        <v>37.71634033906038</v>
      </c>
      <c r="G46" s="54">
        <f t="shared" si="15"/>
        <v>3.0966425498362811</v>
      </c>
      <c r="H46" s="54">
        <f t="shared" si="16"/>
        <v>10.559551094941719</v>
      </c>
      <c r="I46" s="54">
        <f t="shared" si="17"/>
        <v>2.6631125928592017</v>
      </c>
      <c r="J46" s="25"/>
    </row>
    <row r="47" spans="2:11" ht="15.6">
      <c r="B47" s="21">
        <v>-10</v>
      </c>
      <c r="C47" s="50">
        <v>139.78232760708116</v>
      </c>
      <c r="D47" s="19">
        <f t="shared" si="18"/>
        <v>476.65773714014676</v>
      </c>
      <c r="E47" s="19">
        <f t="shared" si="19"/>
        <v>120.21280174208979</v>
      </c>
      <c r="F47" s="50">
        <v>40.291456800365268</v>
      </c>
      <c r="G47" s="54">
        <f t="shared" si="15"/>
        <v>3.4692795621580488</v>
      </c>
      <c r="H47" s="54">
        <f t="shared" si="16"/>
        <v>11.830243306958947</v>
      </c>
      <c r="I47" s="54">
        <f t="shared" si="17"/>
        <v>2.9835804234559222</v>
      </c>
      <c r="J47" s="25"/>
    </row>
    <row r="48" spans="2:11" ht="15.6">
      <c r="B48" s="15"/>
    </row>
    <row r="49" spans="2:11" ht="15.6">
      <c r="B49" s="68" t="s">
        <v>66</v>
      </c>
      <c r="C49" s="69"/>
      <c r="D49" s="69"/>
      <c r="E49" s="69"/>
      <c r="F49" s="69"/>
      <c r="G49" s="69"/>
      <c r="H49" s="69"/>
      <c r="I49" s="71"/>
      <c r="J49" s="23"/>
    </row>
    <row r="50" spans="2:11" ht="15.75" customHeight="1">
      <c r="B50" s="68" t="s">
        <v>52</v>
      </c>
      <c r="C50" s="69"/>
      <c r="D50" s="69"/>
      <c r="E50" s="69"/>
      <c r="F50" s="70"/>
      <c r="G50" s="69"/>
      <c r="H50" s="69"/>
      <c r="I50" s="71"/>
      <c r="J50" s="23"/>
    </row>
    <row r="51" spans="2:11" ht="15.6">
      <c r="B51" s="77" t="s">
        <v>14</v>
      </c>
      <c r="C51" s="65" t="s">
        <v>15</v>
      </c>
      <c r="D51" s="66"/>
      <c r="E51" s="67"/>
      <c r="F51" s="14" t="s">
        <v>16</v>
      </c>
      <c r="G51" s="65" t="s">
        <v>17</v>
      </c>
      <c r="H51" s="66"/>
      <c r="I51" s="67"/>
      <c r="J51" s="24"/>
    </row>
    <row r="52" spans="2:11" ht="15.6">
      <c r="B52" s="78"/>
      <c r="C52" s="80" t="s">
        <v>43</v>
      </c>
      <c r="D52" s="81"/>
      <c r="E52" s="82"/>
      <c r="F52" s="57" t="s">
        <v>45</v>
      </c>
      <c r="G52" s="80" t="s">
        <v>44</v>
      </c>
      <c r="H52" s="81"/>
      <c r="I52" s="82"/>
      <c r="J52" s="24"/>
    </row>
    <row r="53" spans="2:11" ht="31.2">
      <c r="B53" s="21" t="s">
        <v>25</v>
      </c>
      <c r="C53" s="14" t="s">
        <v>18</v>
      </c>
      <c r="D53" s="14" t="s">
        <v>19</v>
      </c>
      <c r="E53" s="14" t="s">
        <v>20</v>
      </c>
      <c r="F53" s="14" t="s">
        <v>18</v>
      </c>
      <c r="G53" s="21" t="s">
        <v>21</v>
      </c>
      <c r="H53" s="21" t="s">
        <v>22</v>
      </c>
      <c r="I53" s="21" t="s">
        <v>23</v>
      </c>
      <c r="J53" s="24"/>
    </row>
    <row r="54" spans="2:11" ht="15.6">
      <c r="B54" s="17">
        <v>-35</v>
      </c>
      <c r="C54" s="50">
        <v>62.010327145854134</v>
      </c>
      <c r="D54" s="19">
        <f>C54*3.41</f>
        <v>211.45521556736261</v>
      </c>
      <c r="E54" s="19">
        <f>C54*0.86</f>
        <v>53.328881345434553</v>
      </c>
      <c r="F54" s="50">
        <v>22.974852287715816</v>
      </c>
      <c r="G54" s="54">
        <f t="shared" ref="G54:G59" si="20">C54/F54</f>
        <v>2.6990522667695145</v>
      </c>
      <c r="H54" s="54">
        <f t="shared" ref="H54:H59" si="21">D54/F54</f>
        <v>9.2037682296840444</v>
      </c>
      <c r="I54" s="54">
        <f t="shared" ref="I54:I59" si="22">E54/F54</f>
        <v>2.3211849494217822</v>
      </c>
      <c r="J54" s="25"/>
    </row>
    <row r="55" spans="2:11" ht="15.6">
      <c r="B55" s="17">
        <v>-30</v>
      </c>
      <c r="C55" s="50">
        <v>72.928564194420403</v>
      </c>
      <c r="D55" s="19">
        <f t="shared" ref="D55:D59" si="23">C55*3.41</f>
        <v>248.68640390297358</v>
      </c>
      <c r="E55" s="19">
        <f t="shared" ref="E55:E59" si="24">C55*0.86</f>
        <v>62.718565207201543</v>
      </c>
      <c r="F55" s="50">
        <v>26.232909844766304</v>
      </c>
      <c r="G55" s="54">
        <f t="shared" si="20"/>
        <v>2.7800409724264838</v>
      </c>
      <c r="H55" s="54">
        <f t="shared" si="21"/>
        <v>9.4799397159743108</v>
      </c>
      <c r="I55" s="54">
        <f t="shared" si="22"/>
        <v>2.390835236286776</v>
      </c>
      <c r="J55" s="25"/>
      <c r="K55" s="27"/>
    </row>
    <row r="56" spans="2:11" ht="15.6">
      <c r="B56" s="17">
        <v>-25</v>
      </c>
      <c r="C56" s="50">
        <v>86.267684992786315</v>
      </c>
      <c r="D56" s="19">
        <f t="shared" si="23"/>
        <v>294.17280582540133</v>
      </c>
      <c r="E56" s="19">
        <f t="shared" si="24"/>
        <v>74.190209093796227</v>
      </c>
      <c r="F56" s="50">
        <v>29.358355457071273</v>
      </c>
      <c r="G56" s="54">
        <f t="shared" si="20"/>
        <v>2.9384372404281871</v>
      </c>
      <c r="H56" s="54">
        <f t="shared" si="21"/>
        <v>10.020070989860118</v>
      </c>
      <c r="I56" s="54">
        <f t="shared" si="22"/>
        <v>2.5270560267682405</v>
      </c>
      <c r="J56" s="25"/>
    </row>
    <row r="57" spans="2:11" ht="15.6">
      <c r="B57" s="17">
        <v>-20</v>
      </c>
      <c r="C57" s="50">
        <v>102.42583514634686</v>
      </c>
      <c r="D57" s="19">
        <f t="shared" si="23"/>
        <v>349.27209784904278</v>
      </c>
      <c r="E57" s="19">
        <f t="shared" si="24"/>
        <v>88.086218225858289</v>
      </c>
      <c r="F57" s="50">
        <v>32.221170530104573</v>
      </c>
      <c r="G57" s="54">
        <f t="shared" si="20"/>
        <v>3.1788365680461341</v>
      </c>
      <c r="H57" s="54">
        <f t="shared" si="21"/>
        <v>10.839832697037318</v>
      </c>
      <c r="I57" s="54">
        <f t="shared" si="22"/>
        <v>2.733799448519675</v>
      </c>
      <c r="J57" s="25"/>
    </row>
    <row r="58" spans="2:11" ht="15.6">
      <c r="B58" s="17">
        <v>-15</v>
      </c>
      <c r="C58" s="50">
        <v>121.80116026049711</v>
      </c>
      <c r="D58" s="19">
        <f t="shared" si="23"/>
        <v>415.34195648829518</v>
      </c>
      <c r="E58" s="19">
        <f t="shared" si="24"/>
        <v>104.74899782402751</v>
      </c>
      <c r="F58" s="50">
        <v>34.6913364693402</v>
      </c>
      <c r="G58" s="54">
        <f t="shared" si="20"/>
        <v>3.5109964808690366</v>
      </c>
      <c r="H58" s="54">
        <f t="shared" si="21"/>
        <v>11.972497999763416</v>
      </c>
      <c r="I58" s="54">
        <f t="shared" si="22"/>
        <v>3.0194569735473715</v>
      </c>
      <c r="J58" s="25"/>
    </row>
    <row r="59" spans="2:11" ht="15.6">
      <c r="B59" s="17">
        <v>-10</v>
      </c>
      <c r="C59" s="50">
        <v>144.79180594063209</v>
      </c>
      <c r="D59" s="19">
        <f t="shared" si="23"/>
        <v>493.74005825755546</v>
      </c>
      <c r="E59" s="19">
        <f t="shared" si="24"/>
        <v>124.52095310894359</v>
      </c>
      <c r="F59" s="50">
        <v>36.638834680252081</v>
      </c>
      <c r="G59" s="54">
        <f t="shared" si="20"/>
        <v>3.9518671159777155</v>
      </c>
      <c r="H59" s="54">
        <f t="shared" si="21"/>
        <v>13.47586686548401</v>
      </c>
      <c r="I59" s="54">
        <f t="shared" si="22"/>
        <v>3.3986057197408348</v>
      </c>
      <c r="J59" s="25"/>
    </row>
    <row r="62" spans="2:11" ht="15.6">
      <c r="B62" s="72" t="s">
        <v>67</v>
      </c>
      <c r="C62" s="72"/>
      <c r="D62" s="72"/>
      <c r="E62" s="72"/>
      <c r="F62" s="79"/>
      <c r="G62" s="72"/>
      <c r="H62" s="72"/>
      <c r="I62" s="72"/>
    </row>
    <row r="63" spans="2:11" ht="15.75" customHeight="1">
      <c r="B63" s="68" t="s">
        <v>52</v>
      </c>
      <c r="C63" s="69"/>
      <c r="D63" s="69"/>
      <c r="E63" s="69"/>
      <c r="F63" s="70"/>
      <c r="G63" s="69"/>
      <c r="H63" s="69"/>
      <c r="I63" s="71"/>
    </row>
    <row r="64" spans="2:11" ht="15.6">
      <c r="B64" s="77" t="s">
        <v>48</v>
      </c>
      <c r="C64" s="65" t="s">
        <v>15</v>
      </c>
      <c r="D64" s="66"/>
      <c r="E64" s="67"/>
      <c r="F64" s="14" t="s">
        <v>16</v>
      </c>
      <c r="G64" s="65" t="s">
        <v>17</v>
      </c>
      <c r="H64" s="66"/>
      <c r="I64" s="67"/>
    </row>
    <row r="65" spans="2:10" ht="15.6">
      <c r="B65" s="78"/>
      <c r="C65" s="80" t="s">
        <v>43</v>
      </c>
      <c r="D65" s="81"/>
      <c r="E65" s="82"/>
      <c r="F65" s="57" t="s">
        <v>45</v>
      </c>
      <c r="G65" s="80" t="s">
        <v>44</v>
      </c>
      <c r="H65" s="81"/>
      <c r="I65" s="82"/>
    </row>
    <row r="66" spans="2:10" ht="31.2">
      <c r="B66" s="53" t="s">
        <v>25</v>
      </c>
      <c r="C66" s="56" t="s">
        <v>18</v>
      </c>
      <c r="D66" s="56" t="s">
        <v>19</v>
      </c>
      <c r="E66" s="56" t="s">
        <v>20</v>
      </c>
      <c r="F66" s="56" t="s">
        <v>18</v>
      </c>
      <c r="G66" s="53" t="s">
        <v>21</v>
      </c>
      <c r="H66" s="53" t="s">
        <v>22</v>
      </c>
      <c r="I66" s="53" t="s">
        <v>23</v>
      </c>
    </row>
    <row r="67" spans="2:10" ht="15.6">
      <c r="B67" s="51" t="s">
        <v>49</v>
      </c>
      <c r="C67" s="50">
        <v>72</v>
      </c>
      <c r="D67" s="19">
        <f>C67*3.412</f>
        <v>245.66399999999999</v>
      </c>
      <c r="E67" s="19">
        <f>C67*0.86</f>
        <v>61.92</v>
      </c>
      <c r="F67" s="50">
        <f>C67/G67</f>
        <v>38.095238095238095</v>
      </c>
      <c r="G67" s="54">
        <v>1.89</v>
      </c>
      <c r="H67" s="54">
        <f>G67*3.412</f>
        <v>6.4486799999999995</v>
      </c>
      <c r="I67" s="54">
        <f>G67*0.86</f>
        <v>1.6254</v>
      </c>
    </row>
    <row r="69" spans="2:10" ht="15.6">
      <c r="J69" s="8">
        <v>35</v>
      </c>
    </row>
  </sheetData>
  <mergeCells count="42">
    <mergeCell ref="B62:I62"/>
    <mergeCell ref="B63:I63"/>
    <mergeCell ref="B64:B65"/>
    <mergeCell ref="C64:E64"/>
    <mergeCell ref="G64:I64"/>
    <mergeCell ref="C65:E65"/>
    <mergeCell ref="G65:I65"/>
    <mergeCell ref="B49:I49"/>
    <mergeCell ref="B50:I50"/>
    <mergeCell ref="B51:B52"/>
    <mergeCell ref="C51:E51"/>
    <mergeCell ref="G51:I51"/>
    <mergeCell ref="C52:E52"/>
    <mergeCell ref="G52:I52"/>
    <mergeCell ref="B37:I37"/>
    <mergeCell ref="B38:I38"/>
    <mergeCell ref="B39:B40"/>
    <mergeCell ref="C39:E39"/>
    <mergeCell ref="G39:I39"/>
    <mergeCell ref="C40:E40"/>
    <mergeCell ref="G40:I40"/>
    <mergeCell ref="B25:I25"/>
    <mergeCell ref="B26:I26"/>
    <mergeCell ref="B27:B28"/>
    <mergeCell ref="C27:E27"/>
    <mergeCell ref="G27:I27"/>
    <mergeCell ref="C28:E28"/>
    <mergeCell ref="G28:I28"/>
    <mergeCell ref="B13:I13"/>
    <mergeCell ref="B14:I14"/>
    <mergeCell ref="B15:B16"/>
    <mergeCell ref="C15:E15"/>
    <mergeCell ref="G15:I15"/>
    <mergeCell ref="C16:E16"/>
    <mergeCell ref="G16:I16"/>
    <mergeCell ref="B1:I1"/>
    <mergeCell ref="B2:I2"/>
    <mergeCell ref="B3:B4"/>
    <mergeCell ref="C3:E3"/>
    <mergeCell ref="G3:I3"/>
    <mergeCell ref="C4:E4"/>
    <mergeCell ref="G4:I4"/>
  </mergeCells>
  <phoneticPr fontId="1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变更记录</vt:lpstr>
      <vt:lpstr>DZ90A1X 4320</vt:lpstr>
      <vt:lpstr>DZ90A1X 3000</vt:lpstr>
      <vt:lpstr>DZ90A1X 1620</vt:lpstr>
      <vt:lpstr>DZ90A1X 1320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Redmi K30</dc:creator>
  <cp:lastModifiedBy>Ahmed Essam Abdelaziz Abdelhamid</cp:lastModifiedBy>
  <cp:lastPrinted>2020-09-16T08:06:45Z</cp:lastPrinted>
  <dcterms:created xsi:type="dcterms:W3CDTF">2006-09-13T03:21:00Z</dcterms:created>
  <dcterms:modified xsi:type="dcterms:W3CDTF">2026-07-13T07:53:11Z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2052-11.1.0.9828</vt:lpwstr>
  </property>
</Properties>
</file>